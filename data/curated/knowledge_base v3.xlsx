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heet1" sheetId="1" state="visible" r:id="rId2"/>
    <sheet name="German_DE" sheetId="2" state="visible" r:id="rId3"/>
    <sheet name="dataset_v4" sheetId="3" state="visible" r:id="rId4"/>
    <sheet name="eval" sheetId="4" state="visible" r:id="rId5"/>
    <sheet name="Audit_Summary"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<sst xmlns="http://schemas.openxmlformats.org/spreadsheetml/2006/main" count="11384" uniqueCount="2406">
  <si>
    <t xml:space="preserve">id</t>
  </si>
  <si>
    <t xml:space="preserve">category</t>
  </si>
  <si>
    <t xml:space="preserve">language</t>
  </si>
  <si>
    <t xml:space="preserve">question</t>
  </si>
  <si>
    <t xml:space="preserve">answer</t>
  </si>
  <si>
    <t xml:space="preserve">source</t>
  </si>
  <si>
    <t xml:space="preserve">year</t>
  </si>
  <si>
    <t xml:space="preserve">note</t>
  </si>
  <si>
    <t xml:space="preserve">group_id</t>
  </si>
  <si>
    <t xml:space="preserve">record_type</t>
  </si>
  <si>
    <t xml:space="preserve">verification_status</t>
  </si>
  <si>
    <t xml:space="preserve">secondary_source</t>
  </si>
  <si>
    <t xml:space="preserve">last_verified</t>
  </si>
  <si>
    <t xml:space="preserve">cse_001_name_vi</t>
  </si>
  <si>
    <t xml:space="preserve">program_overview</t>
  </si>
  <si>
    <t xml:space="preserve">vi</t>
  </si>
  <si>
    <t xml:space="preserve">CSE ở VGU là ngành gì?</t>
  </si>
  <si>
    <t xml:space="preserve">CSE là ngành Khoa học máy tính tại VGU. Tên tiếng Anh của ngành là Computer Science.</t>
  </si>
  <si>
    <t xml:space="preserve">https://tuyensinh.vgu.edu.vn/chuong-trinh-dai-hoc/khoa-hoc-may-tinh</t>
  </si>
  <si>
    <t xml:space="preserve">Nguồn không ghi rõ năm áp dụng.</t>
  </si>
  <si>
    <t xml:space="preserve">cse_001_name</t>
  </si>
  <si>
    <t xml:space="preserve">kb_faq</t>
  </si>
  <si>
    <t xml:space="preserve">VERIFIED</t>
  </si>
  <si>
    <t xml:space="preserve">2026-10-27</t>
  </si>
  <si>
    <t xml:space="preserve">cse_001_name_en</t>
  </si>
  <si>
    <t xml:space="preserve">en</t>
  </si>
  <si>
    <t xml:space="preserve">What is CSE at VGU?</t>
  </si>
  <si>
    <t xml:space="preserve">CSE is VGU's Computer Science program.</t>
  </si>
  <si>
    <t xml:space="preserve">https://tuyensinh.vgu.edu.vn/en/chuong-trinh-dai-hoc/khoa-hoc-may-tinh</t>
  </si>
  <si>
    <t xml:space="preserve">The source does not specify an applicable year.</t>
  </si>
  <si>
    <t xml:space="preserve">cse_001_name_de</t>
  </si>
  <si>
    <t xml:space="preserve">de</t>
  </si>
  <si>
    <t xml:space="preserve">Was ist CSE an der VGU?</t>
  </si>
  <si>
    <t xml:space="preserve">CSE ist der Studiengang Informatik (Computer Science) an der VGU.</t>
  </si>
  <si>
    <t xml:space="preserve">https://vgu.edu.vn/de/studiengaenge/bachelor/informatik</t>
  </si>
  <si>
    <t xml:space="preserve">Die Quelle gibt kein geltendes Jahr an.</t>
  </si>
  <si>
    <t xml:space="preserve">cse_002_duration_vi</t>
  </si>
  <si>
    <t xml:space="preserve">Học CSE ở VGU mất mấy năm?</t>
  </si>
  <si>
    <t xml:space="preserve">Theo lộ trình chuẩn, bạn sẽ học CSE trong 4 năm.</t>
  </si>
  <si>
    <t xml:space="preserve">cse_002_duration</t>
  </si>
  <si>
    <t xml:space="preserve">cse_002_duration_en</t>
  </si>
  <si>
    <t xml:space="preserve">How many years does CSE at VGU take?</t>
  </si>
  <si>
    <t xml:space="preserve">The standard CSE program takes four years to complete.</t>
  </si>
  <si>
    <t xml:space="preserve">cse_002_duration_de</t>
  </si>
  <si>
    <t xml:space="preserve">Wie viele Jahre dauert das CSE-Studium an der VGU?</t>
  </si>
  <si>
    <t xml:space="preserve">Die Regelstudienzeit für das CSE-Programm beträgt vier Jahre.</t>
  </si>
  <si>
    <t xml:space="preserve">cse_003_credits_vi</t>
  </si>
  <si>
    <t xml:space="preserve">CSE có bao nhiêu tín chỉ chuyên ngành?</t>
  </si>
  <si>
    <t xml:space="preserve">Phần chuyên ngành gồm 180 tín chỉ, học trong 6 học kỳ.</t>
  </si>
  <si>
    <t xml:space="preserve">cse_003_credits</t>
  </si>
  <si>
    <t xml:space="preserve">cse_003_credits_en</t>
  </si>
  <si>
    <t xml:space="preserve">How many degree credits are there in CSE?</t>
  </si>
  <si>
    <t xml:space="preserve">The degree portion has 180 credits spread over six semesters.</t>
  </si>
  <si>
    <t xml:space="preserve">cse_003_credits_de</t>
  </si>
  <si>
    <t xml:space="preserve">Wie viele Leistungspunkte umfasst das Fachstudium in CSE?</t>
  </si>
  <si>
    <t xml:space="preserve">Das Fachstudium umfasst 180 Leistungspunkte (Credits), verteilt auf sechs Semester.</t>
  </si>
  <si>
    <t xml:space="preserve">cse_004_foundation_credits_vi</t>
  </si>
  <si>
    <t xml:space="preserve">Tín chỉ năm đại cương (FY) ngành CSE tại VGU có nằm trong 180 tín chỉ chuyên ngành không?</t>
  </si>
  <si>
    <t xml:space="preserve">Không. Năm đại cương (Foundation Year) có điểm tín chỉ nội bộ để xét hoàn thành giai đoạn dự bị (yêu cầu đạt tối thiểu 80%), nhưng không tính ECTS vào 180 tín chỉ ECTS của6 học kỳ chuyên ngành CSE.</t>
  </si>
  <si>
    <t xml:space="preserve">cse_004_foundation_credits</t>
  </si>
  <si>
    <t xml:space="preserve">cse_004_foundation_credits_en</t>
  </si>
  <si>
    <t xml:space="preserve">Are Foundation Year (FY) credits part of the 180 ECTS degree credits in CSE at VGU?</t>
  </si>
  <si>
    <t xml:space="preserve">No. The Foundation Year uses internal progression credits (requiring at least 80% completion to pass FY), which carry 0 ECTS toward the 180 ECTS specialization degree credits.</t>
  </si>
  <si>
    <t xml:space="preserve">cse_004_foundation_credits_de</t>
  </si>
  <si>
    <t xml:space="preserve">Zählen die Credits des Foundation Year (FY) zu den 180 ECTS-Leistungspunkten des CSE-Studiums an der VGU?</t>
  </si>
  <si>
    <t xml:space="preserve">Nein. Das Foundation Year (Orientierungsjahr) nutzt interne Studienpunkte (mindestens 80 % zum Bestehen erforderlich), die mit 0 ECTS auf die 180 ECTS-Leistungspunkte der sechs Fachsemester angerechnet werden.</t>
  </si>
  <si>
    <t xml:space="preserve">cse_005_format_vi</t>
  </si>
  <si>
    <t xml:space="preserve">CSE ở VGU học toàn thời gian phải không?</t>
  </si>
  <si>
    <t xml:space="preserve">Có. CSE tại VGU là chương trình học toàn thời gian.</t>
  </si>
  <si>
    <t xml:space="preserve">cse_005_format</t>
  </si>
  <si>
    <t xml:space="preserve">cse_005_format_en</t>
  </si>
  <si>
    <t xml:space="preserve">Is CSE at VGU full-time?</t>
  </si>
  <si>
    <t xml:space="preserve">Yes. CSE at VGU is a full-time program.</t>
  </si>
  <si>
    <t xml:space="preserve">cse_005_format_de</t>
  </si>
  <si>
    <t xml:space="preserve">Ist CSE an der VGU ein Vollzeitstudium?</t>
  </si>
  <si>
    <t xml:space="preserve">Ja. CSE an der VGU ist ein Vollzeitstudiengang.</t>
  </si>
  <si>
    <t xml:space="preserve">cse_006_program_code_vi</t>
  </si>
  <si>
    <t xml:space="preserve">Mã ngành CSE là gì?</t>
  </si>
  <si>
    <t xml:space="preserve">Mã ngành Khoa học máy tính của VGU là 7480101.</t>
  </si>
  <si>
    <t xml:space="preserve">https://tuyensinh.vgu.edu.vn/nhaphoc-1</t>
  </si>
  <si>
    <t xml:space="preserve">Áp dụng cho khóa/năm 2026.</t>
  </si>
  <si>
    <t xml:space="preserve">cse_006_program_code</t>
  </si>
  <si>
    <t xml:space="preserve">cse_006_program_code_en</t>
  </si>
  <si>
    <t xml:space="preserve">What is the CSE admission code?</t>
  </si>
  <si>
    <t xml:space="preserve">VGU's admission code for Computer Science is 7480101.</t>
  </si>
  <si>
    <t xml:space="preserve">For intake/admission year 2026.</t>
  </si>
  <si>
    <t xml:space="preserve">cse_006_program_code_de</t>
  </si>
  <si>
    <t xml:space="preserve">Wie lautet der Zulassungscode für CSE?</t>
  </si>
  <si>
    <t xml:space="preserve">Der Zulassungscode der VGU für Informatik (Computer Science) lautet 7480101.</t>
  </si>
  <si>
    <t xml:space="preserve">Gilt für den Jahrgang / das Zulassungsjahr 2026.</t>
  </si>
  <si>
    <t xml:space="preserve">cse_007_programming_languages_vi</t>
  </si>
  <si>
    <t xml:space="preserve">curriculum</t>
  </si>
  <si>
    <t xml:space="preserve">Học CSE thì bắt đầu với ngôn ngữ lập trình nào?</t>
  </si>
  <si>
    <t xml:space="preserve">Các ngôn ngữ lập trình cơ bản được giới thiệu trong chương trình là C và C++.</t>
  </si>
  <si>
    <t xml:space="preserve">https://vgu.edu.vn/en/study-programs/bachelor/cs/program-structure</t>
  </si>
  <si>
    <t xml:space="preserve">Đối chiếu qua bản nội dung được công cụ tìm kiếm lưu lại. Nguồn không ghi rõ năm áp dụng.</t>
  </si>
  <si>
    <t xml:space="preserve">cse_007_programming_languages</t>
  </si>
  <si>
    <t xml:space="preserve">cse_007_programming_languages_en</t>
  </si>
  <si>
    <t xml:space="preserve">Which programming languages does CSE introduce first?</t>
  </si>
  <si>
    <t xml:space="preserve">The program introduces students to C and C++.</t>
  </si>
  <si>
    <t xml:space="preserve">Checked against the search-indexed version of the source page. The source does not specify an applicable year.</t>
  </si>
  <si>
    <t xml:space="preserve">cse_007_programming_languages_de</t>
  </si>
  <si>
    <t xml:space="preserve">Welche Programmiersprachen werden in CSE zuerst eingeführt?</t>
  </si>
  <si>
    <t xml:space="preserve">Das Studienprogramm führt Studierende zunächst in C und C++ ein.</t>
  </si>
  <si>
    <t xml:space="preserve">Abgeglichen mit der suchindexierten Version der Quellseite. Die Quelle gibt kein geltendes Jahr an.</t>
  </si>
  <si>
    <t xml:space="preserve">cse_008_math_vi</t>
  </si>
  <si>
    <t xml:space="preserve">Học CSE cần học những môn toán nào?</t>
  </si>
  <si>
    <t xml:space="preserve">Bạn sẽ học các mảng toán như giải tích, đại số và toán rời rạc.</t>
  </si>
  <si>
    <t xml:space="preserve">cse_008_math</t>
  </si>
  <si>
    <t xml:space="preserve">cse_008_math_en</t>
  </si>
  <si>
    <t xml:space="preserve">What mathematics subjects are included in CSE?</t>
  </si>
  <si>
    <t xml:space="preserve">The mathematics subjects include calculus, algebra and discrete mathematics.</t>
  </si>
  <si>
    <t xml:space="preserve">cse_008_math_de</t>
  </si>
  <si>
    <t xml:space="preserve">Welche Mathematikfächer sind im CSE-Studium enthalten?</t>
  </si>
  <si>
    <t xml:space="preserve">Zu den Mathematikfächern gehören Analysis (Calculus), Algebra und Diskrete Mathematik.</t>
  </si>
  <si>
    <t xml:space="preserve">cse_009_theory_vi</t>
  </si>
  <si>
    <t xml:space="preserve">Mô hình tính toán được học trong môn nào trong chương trình CSE tại VGU?</t>
  </si>
  <si>
    <t xml:space="preserve">Nội dung này nằm trong môn Theoretical Computer Science, tức Khoa học máy tính lý thuyết.</t>
  </si>
  <si>
    <t xml:space="preserve">cse_009_theory</t>
  </si>
  <si>
    <t xml:space="preserve">cse_009_theory_en</t>
  </si>
  <si>
    <t xml:space="preserve">Which subject covers models of computation in the CSE program at VGU?</t>
  </si>
  <si>
    <t xml:space="preserve">This is covered in Theoretical Computer Science.</t>
  </si>
  <si>
    <t xml:space="preserve">cse_009_theory_de</t>
  </si>
  <si>
    <t xml:space="preserve">In welchem Fach werden Berechnungsmodelle behandelt im Studiengang CSE an der VGU?</t>
  </si>
  <si>
    <t xml:space="preserve">Dies wird im Modul Theoretische Informatik (Theoretical Computer Science) behandelt.</t>
  </si>
  <si>
    <t xml:space="preserve">cse_010_algorithms_vi</t>
  </si>
  <si>
    <t xml:space="preserve">CSE có học cấu trúc dữ liệu và giải thuật không?</t>
  </si>
  <si>
    <t xml:space="preserve">Có. Chương trình có môn Data Structures and Algorithms, tức Cấu trúc dữ liệu và giải thuật.</t>
  </si>
  <si>
    <t xml:space="preserve">cse_010_algorithms</t>
  </si>
  <si>
    <t xml:space="preserve">cse_010_algorithms_en</t>
  </si>
  <si>
    <t xml:space="preserve">Are data structures and algorithms included in the CSE program at VGU?</t>
  </si>
  <si>
    <t xml:space="preserve">Yes. Data Structures and Algorithms is part of the program.</t>
  </si>
  <si>
    <t xml:space="preserve">cse_010_algorithms_de</t>
  </si>
  <si>
    <t xml:space="preserve">Sind Datenstrukturen und Algorithmen im Studium enthalten im Studiengang CSE an der VGU?</t>
  </si>
  <si>
    <t xml:space="preserve">Ja. Datenstrukturen und Algorithmen (Data Structures and Algorithms) ist Teil des Studienprogramms.</t>
  </si>
  <si>
    <t xml:space="preserve">cse_011_architecture_vi</t>
  </si>
  <si>
    <t xml:space="preserve">CSE có học kiến trúc máy tính không?</t>
  </si>
  <si>
    <t xml:space="preserve">Có. Bạn sẽ học nội dung này trong môn Computer Architecture.</t>
  </si>
  <si>
    <t xml:space="preserve">cse_011_architecture</t>
  </si>
  <si>
    <t xml:space="preserve">cse_011_architecture_en</t>
  </si>
  <si>
    <t xml:space="preserve">Is computer architecture included in the CSE program at VGU?</t>
  </si>
  <si>
    <t xml:space="preserve">Yes. The program includes Computer Architecture.</t>
  </si>
  <si>
    <t xml:space="preserve">cse_011_architecture_de</t>
  </si>
  <si>
    <t xml:space="preserve">Ist Rechnerarchitektur im Studium enthalten im Studiengang CSE an der VGU?</t>
  </si>
  <si>
    <t xml:space="preserve">Ja. Das Programm umfasst das Modul Rechnerarchitektur (Computer Architecture).</t>
  </si>
  <si>
    <t xml:space="preserve">cse_012_database_vi</t>
  </si>
  <si>
    <t xml:space="preserve">CSE có môn cơ sở dữ liệu không?</t>
  </si>
  <si>
    <t xml:space="preserve">Có. Databases là môn cơ sở dữ liệu được liệt kê trong chương trình.</t>
  </si>
  <si>
    <t xml:space="preserve">cse_012_database</t>
  </si>
  <si>
    <t xml:space="preserve">cse_012_database_en</t>
  </si>
  <si>
    <t xml:space="preserve">Are databases included in the CSE program at VGU?</t>
  </si>
  <si>
    <t xml:space="preserve">Yes. Databases is one of the subjects listed in the program.</t>
  </si>
  <si>
    <t xml:space="preserve">cse_012_database_de</t>
  </si>
  <si>
    <t xml:space="preserve">Sind Datenbanken im Studium enthalten im Studiengang CSE an der VGU?</t>
  </si>
  <si>
    <t xml:space="preserve">Ja. Datenbanken (Databases) ist eines der im Studienprogramm aufgeführten Fächer.</t>
  </si>
  <si>
    <t xml:space="preserve">cse_013_software_vi</t>
  </si>
  <si>
    <t xml:space="preserve">CSE có học kỹ thuật phần mềm không?</t>
  </si>
  <si>
    <t xml:space="preserve">Có. Chương trình có môn Software Engineering, tức Kỹ thuật phần mềm.</t>
  </si>
  <si>
    <t xml:space="preserve">cse_013_software</t>
  </si>
  <si>
    <t xml:space="preserve">cse_013_software_en</t>
  </si>
  <si>
    <t xml:space="preserve">Is software engineering included in the CSE program at VGU?</t>
  </si>
  <si>
    <t xml:space="preserve">Yes. Software Engineering is included in the program.</t>
  </si>
  <si>
    <t xml:space="preserve">cse_013_software_de</t>
  </si>
  <si>
    <t xml:space="preserve">Ist Softwaretechnik im Studium enthalten im Studiengang CSE an der VGU?</t>
  </si>
  <si>
    <t xml:space="preserve">Ja. Softwaretechnik (Software Engineering) ist im Studienprogramm enthalten.</t>
  </si>
  <si>
    <t xml:space="preserve">cse_014_network_vi</t>
  </si>
  <si>
    <t xml:space="preserve">CSE có học mạng máy tính không?</t>
  </si>
  <si>
    <t xml:space="preserve">Có. Mạng máy tính được học trong môn Computer Networks.</t>
  </si>
  <si>
    <t xml:space="preserve">cse_014_network</t>
  </si>
  <si>
    <t xml:space="preserve">cse_014_network_en</t>
  </si>
  <si>
    <t xml:space="preserve">Are computer networks included in the CSE program at VGU?</t>
  </si>
  <si>
    <t xml:space="preserve">Yes. Computer Networks is included in the program.</t>
  </si>
  <si>
    <t xml:space="preserve">cse_014_network_de</t>
  </si>
  <si>
    <t xml:space="preserve">Sind Rechnernetze im Studium enthalten im Studiengang CSE an der VGU?</t>
  </si>
  <si>
    <t xml:space="preserve">Ja. Rechnernetze (Computer Networks) ist im Studienprogramm enthalten.</t>
  </si>
  <si>
    <t xml:space="preserve">cse_015_security_vi</t>
  </si>
  <si>
    <t xml:space="preserve">CSE có học bảo mật không?</t>
  </si>
  <si>
    <t xml:space="preserve">Có. Chương trình có môn IT Security về bảo mật công nghệ thông tin.</t>
  </si>
  <si>
    <t xml:space="preserve">cse_015_security</t>
  </si>
  <si>
    <t xml:space="preserve">cse_015_security_en</t>
  </si>
  <si>
    <t xml:space="preserve">Is security included in the CSE program at VGU?</t>
  </si>
  <si>
    <t xml:space="preserve">Yes. The program includes IT Security.</t>
  </si>
  <si>
    <t xml:space="preserve">cse_015_security_de</t>
  </si>
  <si>
    <t xml:space="preserve">Ist IT-Sicherheit im Studium enthalten im Studiengang CSE an der VGU?</t>
  </si>
  <si>
    <t xml:space="preserve">Ja. Das Programm umfasst das Modul IT Security (IT-Sicherheit).</t>
  </si>
  <si>
    <t xml:space="preserve">cse_016_os_vi</t>
  </si>
  <si>
    <t xml:space="preserve">CSE có học hệ điều hành không?</t>
  </si>
  <si>
    <t xml:space="preserve">Có. Operating Systems là môn về hệ điều hành trong chương trình CSE.</t>
  </si>
  <si>
    <t xml:space="preserve">cse_016_os</t>
  </si>
  <si>
    <t xml:space="preserve">cse_016_os_en</t>
  </si>
  <si>
    <t xml:space="preserve">Are operating systems included in the CSE program at VGU?</t>
  </si>
  <si>
    <t xml:space="preserve">Yes. Operating Systems is part of the CSE program.</t>
  </si>
  <si>
    <t xml:space="preserve">cse_016_os_de</t>
  </si>
  <si>
    <t xml:space="preserve">Sind Betriebssysteme im Studium enthalten im Studiengang CSE an der VGU?</t>
  </si>
  <si>
    <t xml:space="preserve">Ja. Betriebssysteme (Operating Systems) ist Teil des CSE-Programms.</t>
  </si>
  <si>
    <t xml:space="preserve">cse_017_realtime_vi</t>
  </si>
  <si>
    <t xml:space="preserve">CSE có học hệ thống thời gian thực không?</t>
  </si>
  <si>
    <t xml:space="preserve">Có. Chương trình liệt kê môn Realtime Systems, tức Hệ thống thời gian thực.</t>
  </si>
  <si>
    <t xml:space="preserve">cse_017_realtime</t>
  </si>
  <si>
    <t xml:space="preserve">cse_017_realtime_en</t>
  </si>
  <si>
    <t xml:space="preserve">Are real-time systems included in the CSE program at VGU?</t>
  </si>
  <si>
    <t xml:space="preserve">Yes. Realtime Systems is listed in the program.</t>
  </si>
  <si>
    <t xml:space="preserve">cse_017_realtime_de</t>
  </si>
  <si>
    <t xml:space="preserve">Sind Echtzeitsysteme im Studium enthalten im Studiengang CSE an der VGU?</t>
  </si>
  <si>
    <t xml:space="preserve">Ja. Echtzeitsysteme (Realtime Systems) ist im Studienprogramm aufgeführt.</t>
  </si>
  <si>
    <t xml:space="preserve">cse_018_java_vi</t>
  </si>
  <si>
    <t xml:space="preserve">CSE có học Java không?</t>
  </si>
  <si>
    <t xml:space="preserve">Có. Java được đề cập trong phần lập trình nâng cao của chương trình.</t>
  </si>
  <si>
    <t xml:space="preserve">cse_018_java</t>
  </si>
  <si>
    <t xml:space="preserve">cse_018_java_en</t>
  </si>
  <si>
    <t xml:space="preserve">Is Java included in the CSE program at VGU?</t>
  </si>
  <si>
    <t xml:space="preserve">Yes. Java is covered in the advanced programming part of the program.</t>
  </si>
  <si>
    <t xml:space="preserve">cse_018_java_de</t>
  </si>
  <si>
    <t xml:space="preserve">Ist Java im Studium enthalten im Studiengang CSE an der VGU?</t>
  </si>
  <si>
    <t xml:space="preserve">Ja. Java wird im fortgeschrittenen Programmierteil des Studiums behandelt.</t>
  </si>
  <si>
    <t xml:space="preserve">cse_019_new_modules_vi</t>
  </si>
  <si>
    <t xml:space="preserve">Chương trình CSE có bổ sung những môn mới nào?</t>
  </si>
  <si>
    <t xml:space="preserve">Trang chương trình liệt kê ba học phần mới: IoT and Smart Devices, Introduction to Data Science and AI, và Compulsory Elective 2.</t>
  </si>
  <si>
    <t xml:space="preserve">cse_019_new_modules</t>
  </si>
  <si>
    <t xml:space="preserve">cse_019_new_modules_en</t>
  </si>
  <si>
    <t xml:space="preserve">Which new modules are listed for CSE?</t>
  </si>
  <si>
    <t xml:space="preserve">The program page lists three new modules: IoT and Smart Devices, Introduction to Data Science and AI, and Compulsory Elective 2.</t>
  </si>
  <si>
    <t xml:space="preserve">cse_019_new_modules_de</t>
  </si>
  <si>
    <t xml:space="preserve">Welche neuen Module sind für CSE aufgeführt?</t>
  </si>
  <si>
    <t xml:space="preserve">Die Programmseite nennt drei neue Module: IoT and Smart Devices, Introduction to Data Science and AI sowie Compulsory Elective 2.</t>
  </si>
  <si>
    <t xml:space="preserve">cse_020_current_topics_vi</t>
  </si>
  <si>
    <t xml:space="preserve">Môn Current Topics có học giống nhau mỗi năm không trong chương trình CSE tại VGU?</t>
  </si>
  <si>
    <t xml:space="preserve">Không cố định hoàn toàn. Nội dung Current Topics có thể thay đổi theo từng năm và giảng viên phụ trách.</t>
  </si>
  <si>
    <t xml:space="preserve">cse_020_current_topics</t>
  </si>
  <si>
    <t xml:space="preserve">cse_020_current_topics_en</t>
  </si>
  <si>
    <t xml:space="preserve">Does Current Topics cover the same material every year in the CSE program at VGU?</t>
  </si>
  <si>
    <t xml:space="preserve">Not entirely. Current Topics can change from year to year depending on the lecturers involved.</t>
  </si>
  <si>
    <t xml:space="preserve">cse_020_current_topics_de</t>
  </si>
  <si>
    <t xml:space="preserve">Behandelt das Modul Current Topics jedes Jahr denselben Stoff im Studiengang CSE an der VGU?</t>
  </si>
  <si>
    <t xml:space="preserve">Nicht vollständig. Die Inhalte von Current Topics können sich von Jahr zu Jahr je nach den beteiligten Dozenten ändern.</t>
  </si>
  <si>
    <t xml:space="preserve">cse_021_elective_list_vi</t>
  </si>
  <si>
    <t xml:space="preserve">Các môn tự chọn chuyên sâu gồm gì trong chương trình CSE tại VGU?</t>
  </si>
  <si>
    <t xml:space="preserve">Các môn được liệt kê gồm Data Mining, IoT/Mobile Applications, Advanced IT Security, Machine Learning/Advanced AI và Medical Image Processing.</t>
  </si>
  <si>
    <t xml:space="preserve">cse_021_elective_list</t>
  </si>
  <si>
    <t xml:space="preserve">cse_021_elective_list_en</t>
  </si>
  <si>
    <t xml:space="preserve">Which advanced electives are listed in the CSE program at VGU?</t>
  </si>
  <si>
    <t xml:space="preserve">The listed electives include Data Mining, IoT/Mobile Applications, Advanced IT Security, Machine Learning/Advanced AI and Medical Image Processing.</t>
  </si>
  <si>
    <t xml:space="preserve">cse_021_elective_list_de</t>
  </si>
  <si>
    <t xml:space="preserve">Welche vertiefenden Wahlpflichtfächer sind aufgeführt im Studiengang CSE an der VGU?</t>
  </si>
  <si>
    <t xml:space="preserve">Zu den aufgeführten Wahlpflichtfächern gehören Data Mining, IoT/Mobile Applications, Advanced IT Security, Machine Learning/Advanced AI und Medical Image Processing.</t>
  </si>
  <si>
    <t xml:space="preserve">cse_022_ic_date_vi</t>
  </si>
  <si>
    <t xml:space="preserve">VGU bổ sung các môn IC Design từ khi nào?</t>
  </si>
  <si>
    <t xml:space="preserve">Theo trang chương trình, nhóm môn tự chọn IC Design được bổ sung từ tháng 9/2024.</t>
  </si>
  <si>
    <t xml:space="preserve">cse_022_ic_date</t>
  </si>
  <si>
    <t xml:space="preserve">cse_022_ic_date_en</t>
  </si>
  <si>
    <t xml:space="preserve">When did VGU introduce the IC Design electives?</t>
  </si>
  <si>
    <t xml:space="preserve">According to the program page, the IC Design electives were introduced in September 2024.</t>
  </si>
  <si>
    <t xml:space="preserve">cse_022_ic_date_de</t>
  </si>
  <si>
    <t xml:space="preserve">Wann hat die VGU die Wahlpflichtfächer zu IC Design eingeführt?</t>
  </si>
  <si>
    <t xml:space="preserve">Laut Programmseite wurden die Wahlpflichtfächer im Bereich IC Design im September 2024 eingeführt.</t>
  </si>
  <si>
    <t xml:space="preserve">cse_023_ic_modules_vi</t>
  </si>
  <si>
    <t xml:space="preserve">Hướng IC Design có những môn nào trong chương trình CSE tại VGU?</t>
  </si>
  <si>
    <t xml:space="preserve">Các môn được nêu gồm HDL &amp; Verification, Digital System Design, Digital VLSI Design và Project in IC Design.</t>
  </si>
  <si>
    <t xml:space="preserve">cse_023_ic_modules</t>
  </si>
  <si>
    <t xml:space="preserve">cse_023_ic_modules_en</t>
  </si>
  <si>
    <t xml:space="preserve">Which subjects are listed for the IC Design branch in the CSE program at VGU?</t>
  </si>
  <si>
    <t xml:space="preserve">The page lists HDL &amp; Verification, Digital System Design, Digital VLSI Design and Project in IC Design.</t>
  </si>
  <si>
    <t xml:space="preserve">cse_023_ic_modules_de</t>
  </si>
  <si>
    <t xml:space="preserve">Welche Fächer sind für den Schwerpunkt IC Design aufgeführt im Studiengang CSE an der VGU?</t>
  </si>
  <si>
    <t xml:space="preserve">Die Seite nennt HDL &amp; Verification, Digital System Design, Digital VLSI Design und Project in IC Design.</t>
  </si>
  <si>
    <t xml:space="preserve">cse_024_handbook_vi</t>
  </si>
  <si>
    <t xml:space="preserve">Muốn xem chi tiết từng môn CSE thì tìm ở đâu?</t>
  </si>
  <si>
    <t xml:space="preserve">Bạn có thể vào trang Program Structure của CSE và tìm đường dẫn module handbook để xem mô tả các môn.</t>
  </si>
  <si>
    <t xml:space="preserve">cse_024_handbook</t>
  </si>
  <si>
    <t xml:space="preserve">cse_024_handbook_en</t>
  </si>
  <si>
    <t xml:space="preserve">Where can I find details about each CSE module?</t>
  </si>
  <si>
    <t xml:space="preserve">Go to the CSE Program Structure page and look for the module handbook link.</t>
  </si>
  <si>
    <t xml:space="preserve">cse_024_handbook_de</t>
  </si>
  <si>
    <t xml:space="preserve">Wo finde ich Details zu den einzelnen CSE-Modulen?</t>
  </si>
  <si>
    <t xml:space="preserve">Besuchen Sie die Seite CSE Program Structure und suchen Sie nach dem Link zum Modulhandbuch (Module Handbook).</t>
  </si>
  <si>
    <t xml:space="preserve">cse_025_exact_schedule_vi</t>
  </si>
  <si>
    <t xml:space="preserve">Lộ trình học các năm của ngành CSE tại VGU khóa 2026 được phân bổ như thế nào?</t>
  </si>
  <si>
    <t xml:space="preserve">Theo khung chương trình CSE 4 năm (180 ECTS): Năm 1 (Foundation Year) học Tiếng Anh học thuật, Nhập môn lập trình C/C++, Giải tích, Đại số tuyến tính và Toán rời rạc; Năm 2 học Cơ sở dữ liệu, Cấu trúc dữ liệu &amp; Giải thuật, Kỹ thuật phần mềm, Mạng máy tính, Lập trình hướng đối tượng (Java) và Kiến trúc máy tính; Năm 3 học IoT &amp; Thiết bị thông minh, AI &amp; Học máy, Hệ điều hành nâng cao, An toàn thông tin và các môn tự chọn; Năm 4 thực hiện Dự án thực tế, Thực tập doanh nghiệp (14 tuần) và Khóa luận tốt nghiệp (9 tuần). Để nhận thời khóa biểu chi tiết từng học kỳ của khóa 2026, vui lòng liên hệ cse@vgu.edu.vn.</t>
  </si>
  <si>
    <t xml:space="preserve">Cần hỏi lại VGU trước khi dùng thông tin này. Đối chiếu qua bản nội dung được công cụ tìm kiếm lưu lại. Nguồn không ghi rõ năm áp dụng.</t>
  </si>
  <si>
    <t xml:space="preserve">cse_025_exact_schedule</t>
  </si>
  <si>
    <t xml:space="preserve">cse_025_exact_schedule_en</t>
  </si>
  <si>
    <t xml:space="preserve">How is the year-by-year curriculum plan structured for CSE intake 2026 at VGU?</t>
  </si>
  <si>
    <t xml:space="preserve">Under the standard 4-year (180 ECTS) CSE structure: Year 1 (Foundation Year) covers Academic English, Programming in C/C++, Calculus, Linear Algebra, and Discrete Mathematics; Year 2 covers Databases, Data Structures &amp; Algorithms, Software Engineering, Computer Networks, Object-Oriented Programming with Java, and Computer Architecture; Year 3 covers IoT &amp; Smart Devices, AI &amp; Machine Learning, Advanced Operating Systems, IT Security, and specialized electives; Year 4 covers Enterprise Projects, the 14-week Industrial Internship, and the 9-week Bachelor Thesis. For the exact semester timetable of your cohort, contact cse@vgu.edu.vn.</t>
  </si>
  <si>
    <t xml:space="preserve">Confirm the missing details with VGU. Checked against the search-indexed version of the source page. The source does not specify an applicable year.</t>
  </si>
  <si>
    <t xml:space="preserve">cse_025_exact_schedule_de</t>
  </si>
  <si>
    <t xml:space="preserve">Wie ist der Studienverlaufsplan nach Studienjahren für den CSE-Jahrgang 2026 an der VGU aufgebaut?</t>
  </si>
  <si>
    <t xml:space="preserve">Gemäß dem 4-jährigen CSE-Studienplan (180 ECTS) umfasst das 1. Jahr (Orientierungsjahr) Akademisches Englisch, Programmierung in C/C++, Analysis, Lineare Algebra und Diskrete Mathematik; das 2. Jahr Datenbanken, Datenstrukturen &amp; Algorithmen, Softwaretechnik, Rechnernetze, Objektorientierte Programmierung mit Java und Rechnerarchitektur; das 3. Jahr IoT &amp; Smart Devices, KI &amp; Maschinelles Lernen, Fortgeschrittene Betriebssysteme, IT-Sicherheit sowie Wahlpflichtmodule; das 4. Jahr Unternehmensprojekt, 14-wöchiges Industriepraktikum und 9-wöchige Bachelorarbeit. Den genauen Semesterstundenplan erhalten Sie unter cse@vgu.edu.vn.</t>
  </si>
  <si>
    <t xml:space="preserve">Bitte klären Sie die fehlenden Details mit der VGU. Abgeglichen mit der suchindexierten Version der Quellseite. Die Quelle gibt kein geltendes Jahr an.</t>
  </si>
  <si>
    <t xml:space="preserve">cse_026_module_credits_vi</t>
  </si>
  <si>
    <t xml:space="preserve">Mỗi học phần trong chương trình CSE tại VGU có bao nhiêu tín chỉ ECTS?</t>
  </si>
  <si>
    <t xml:space="preserve">Tổng chương trình chuyên ngành CSE gồm 180 ECTS trong 6 học kỳ (thông thường các học phần cơ sở và chuyên ngành như Databases có 5 ECTS). Bạn có thể tra cứu số ECTS chính xác của từng môn trong Module Handbook của khóa mình trên trang cấu trúc chương trình CSE.</t>
  </si>
  <si>
    <t xml:space="preserve">cse_026_module_credits</t>
  </si>
  <si>
    <t xml:space="preserve">cse_026_module_credits_en</t>
  </si>
  <si>
    <t xml:space="preserve">How many ECTS credits does each module carry in the CSE program at VGU?</t>
  </si>
  <si>
    <t xml:space="preserve">The CSE specialization comprises 180 ECTS across 6 semesters (standard modules such as Databases typically carry 5 ECTS). Check the CSE Module Handbook on the program structure page for the exact ECTS weight of every module in your cohort.</t>
  </si>
  <si>
    <t xml:space="preserve">cse_026_module_credits_de</t>
  </si>
  <si>
    <t xml:space="preserve">Wie viele ECTS-Leistungspunkte umfasst jedes Modul im CSE-Programm an der VGU?</t>
  </si>
  <si>
    <t xml:space="preserve">Das CSE-Fachstudium umfasst 180 ECTS über 6 Semester (Standardmodule wie Databases umfassen in der Regel 5 ECTS). Die genaue ECTS-Anzahl jedes Moduls Ihres Jahrgangs finden Sie im CSE-Modulhandbuch auf der Programmstrukturseite.</t>
  </si>
  <si>
    <t xml:space="preserve">cse_027_fields_vi</t>
  </si>
  <si>
    <t xml:space="preserve">specializations</t>
  </si>
  <si>
    <t xml:space="preserve">CSE ở VGU có những hướng chuyên sâu nào?</t>
  </si>
  <si>
    <t xml:space="preserve">Các hướng được giới thiệu gồm kỹ thuật phần mềm, IoT/ứng dụng di động, khoa học dữ liệu, AI/học máy và bảo mật CNTT.</t>
  </si>
  <si>
    <t xml:space="preserve">cse_027_fields</t>
  </si>
  <si>
    <t xml:space="preserve">cse_027_fields_en</t>
  </si>
  <si>
    <t xml:space="preserve">What focus areas does CSE at VGU offer?</t>
  </si>
  <si>
    <t xml:space="preserve">The listed focus areas are software engineering, IoT/mobile applications, data science, AI/machine learning and IT security.</t>
  </si>
  <si>
    <t xml:space="preserve">cse_027_fields_de</t>
  </si>
  <si>
    <t xml:space="preserve">Welche Vertiefungsrichtungen bietet CSE an der VGU?</t>
  </si>
  <si>
    <t xml:space="preserve">Die aufgeführten Schwerpunkte sind Softwaretechnik, IoT/mobile Anwendungen, Data Science, KI/Maschinelles Lernen und IT-Sicherheit.</t>
  </si>
  <si>
    <t xml:space="preserve">cse_028_ai_track_vi</t>
  </si>
  <si>
    <t xml:space="preserve">CSE có học về AI và Machine Learning không?</t>
  </si>
  <si>
    <t xml:space="preserve">Có. AI và Machine Learning là một trong các hướng được chương trình giới thiệu.</t>
  </si>
  <si>
    <t xml:space="preserve">cse_028_ai_track</t>
  </si>
  <si>
    <t xml:space="preserve">cse_028_ai_track_en</t>
  </si>
  <si>
    <t xml:space="preserve">Does CSE include AI and machine learning?</t>
  </si>
  <si>
    <t xml:space="preserve">Yes. AI and machine learning are listed among the program's focus areas.</t>
  </si>
  <si>
    <t xml:space="preserve">cse_028_ai_track_de</t>
  </si>
  <si>
    <t xml:space="preserve">Umfasst CSE auch KI und Maschinelles Lernen?</t>
  </si>
  <si>
    <t xml:space="preserve">Ja. KI und Maschinelles Lernen gehören zu den aufgeführten Vertiefungsrichtungen des Programms.</t>
  </si>
  <si>
    <t xml:space="preserve">cse_029_data_track_vi</t>
  </si>
  <si>
    <t xml:space="preserve">Học CSE có thể theo hướng Data Science không?</t>
  </si>
  <si>
    <t xml:space="preserve">Có. Data Science, tức Khoa học dữ liệu, là một hướng được giới thiệu trong CSE.</t>
  </si>
  <si>
    <t xml:space="preserve">cse_029_data_track</t>
  </si>
  <si>
    <t xml:space="preserve">cse_029_data_track_en</t>
  </si>
  <si>
    <t xml:space="preserve">Is Data Science a focus area in CSE?</t>
  </si>
  <si>
    <t xml:space="preserve">Yes. Data Science is one of the listed CSE focus areas.</t>
  </si>
  <si>
    <t xml:space="preserve">cse_029_data_track_de</t>
  </si>
  <si>
    <t xml:space="preserve">Ist Data Science ein Schwerpunkt in CSE?</t>
  </si>
  <si>
    <t xml:space="preserve">Ja. Data Science ist einer der aufgeführten CSE-Schwerpunkte.</t>
  </si>
  <si>
    <t xml:space="preserve">cse_030_cyber_track_vi</t>
  </si>
  <si>
    <t xml:space="preserve">Muốn theo cybersecurity thì CSE có hướng phù hợp không?</t>
  </si>
  <si>
    <t xml:space="preserve">Có. CSE có hướng IT Security, liên quan đến bảo mật công nghệ thông tin.</t>
  </si>
  <si>
    <t xml:space="preserve">cse_030_cyber_track</t>
  </si>
  <si>
    <t xml:space="preserve">cse_030_cyber_track_en</t>
  </si>
  <si>
    <t xml:space="preserve">Does CSE have a cybersecurity-related focus?</t>
  </si>
  <si>
    <t xml:space="preserve">Yes. CSE lists IT Security as a focus area related to cybersecurity.</t>
  </si>
  <si>
    <t xml:space="preserve">cse_030_cyber_track_de</t>
  </si>
  <si>
    <t xml:space="preserve">Gibt es in CSE einen Schwerpunkt im Bereich Cybersicherheit?</t>
  </si>
  <si>
    <t xml:space="preserve">Ja. CSE führt IT Security (IT-Sicherheit) als Vertiefungsrichtung mit Bezug zur Cybersicherheit auf.</t>
  </si>
  <si>
    <t xml:space="preserve">cse_031_track_selection_vi</t>
  </si>
  <si>
    <t xml:space="preserve">Sinh viên chọn hướng chuyên sâu vào học kỳ nào trong chương trình CSE tại VGU?</t>
  </si>
  <si>
    <t xml:space="preserve">Thời điểm chọn hướng có thể phụ thuộc vào khóa học. Bạn nên hỏi điều phối viên CSE trước khi đăng ký môn vì bộ dữ liệu chưa xác nhận mốc này.</t>
  </si>
  <si>
    <t xml:space="preserve">cse_031_track_selection</t>
  </si>
  <si>
    <t xml:space="preserve">CONDITIONAL</t>
  </si>
  <si>
    <t xml:space="preserve">cse_031_track_selection_en</t>
  </si>
  <si>
    <t xml:space="preserve">When do students select a focus area in the CSE program at VGU?</t>
  </si>
  <si>
    <t xml:space="preserve">The timing may depend on your cohort. Ask the CSE coordinator before choosing modules, as the selection date has not been confirmed here.</t>
  </si>
  <si>
    <t xml:space="preserve">cse_031_track_selection_de</t>
  </si>
  <si>
    <t xml:space="preserve">Wann wählen Studierende ihren Schwerpunkt im Studiengang CSE an der VGU?</t>
  </si>
  <si>
    <t xml:space="preserve">Der Zeitpunkt kann von Ihrem Jahrgang abhängen. Fragen Sie vor der Modulwahl die CSE-Koordination, da der Wahltermin hier nicht bestätigt ist.</t>
  </si>
  <si>
    <t xml:space="preserve">cse_032_separate_degree_vi</t>
  </si>
  <si>
    <t xml:space="preserve">Học IC Design có được bằng riêng về vi mạch không trong chương trình CSE tại VGU?</t>
  </si>
  <si>
    <t xml:space="preserve">Chưa thể kết luận là có bằng riêng. Trang chương trình mới nêu các môn tự chọn về IC Design; bạn cần xem thêm quy định cấp bằng áp dụng cho khóa của mình.</t>
  </si>
  <si>
    <t xml:space="preserve">cse_032_separate_degree</t>
  </si>
  <si>
    <t xml:space="preserve">cse_032_separate_degree_en</t>
  </si>
  <si>
    <t xml:space="preserve">Does the IC Design branch award a separate degree in the CSE program at VGU?</t>
  </si>
  <si>
    <t xml:space="preserve">A separate degree has not been confirmed. The page lists IC Design electives, so check your cohort's award regulations for the actual degree arrangement.</t>
  </si>
  <si>
    <t xml:space="preserve">cse_032_separate_degree_de</t>
  </si>
  <si>
    <t xml:space="preserve">Verleiht der Schwerpunkt IC Design einen eigenen Abschluss im Studiengang CSE an der VGU?</t>
  </si>
  <si>
    <t xml:space="preserve">Ein separater Abschluss ist nicht bestätigt. Die Seite führt Wahlpflichtfächer in IC Design auf; prüfen Sie daher die Prüfungs- und Verleihungsordnung Ihres Jahrgangs.</t>
  </si>
  <si>
    <t xml:space="preserve">cse_033_purpose_vi</t>
  </si>
  <si>
    <t xml:space="preserve">foundation_year</t>
  </si>
  <si>
    <t xml:space="preserve">Năm FY giúp chuẩn bị gì trước khi vào chuyên ngành trong chương trình CSE tại VGU?</t>
  </si>
  <si>
    <t xml:space="preserve">FY giúp bạn chuẩn bị tiếng Anh học thuật, ôn toán và khoa học, đồng thời làm quen với kỹ năng học tập và phần mềm.</t>
  </si>
  <si>
    <t xml:space="preserve">https://vgu.edu.vn/en/study-programs/bachelor/fy</t>
  </si>
  <si>
    <t xml:space="preserve">cse_033_purpose</t>
  </si>
  <si>
    <t xml:space="preserve">cse_033_purpose_en</t>
  </si>
  <si>
    <t xml:space="preserve">What does FY prepare me for before degree studies in the CSE program at VGU?</t>
  </si>
  <si>
    <t xml:space="preserve">FY helps you build academic English, review mathematics and science, and get used to study skills and relevant software.</t>
  </si>
  <si>
    <t xml:space="preserve">cse_033_purpose_de</t>
  </si>
  <si>
    <t xml:space="preserve">Worauf bereitet mich das Foundation Year (FY) vor dem Fachstudium vor im Studiengang CSE an der VGU?</t>
  </si>
  <si>
    <t xml:space="preserve">Das FY hilft Ihnen, akademisches Englisch aufzubauen, Mathematik und Naturwissenschaften zu wiederholen sowie Studienkompetenzen und relevante Software kennenzulernen.</t>
  </si>
  <si>
    <t xml:space="preserve">cse_034_german_vi</t>
  </si>
  <si>
    <t xml:space="preserve">Năm FY có học tiếng Đức không trong chương trình CSE tại VGU?</t>
  </si>
  <si>
    <t xml:space="preserve">Có. FY có mục tiêu xây dựng nền tảng tiếng Đức, nhưng lịch học cụ thể sẽ tùy nhóm của bạn.</t>
  </si>
  <si>
    <t xml:space="preserve">cse_034_german</t>
  </si>
  <si>
    <t xml:space="preserve">cse_034_german_en</t>
  </si>
  <si>
    <t xml:space="preserve">Does FY include German in the CSE program at VGU?</t>
  </si>
  <si>
    <t xml:space="preserve">Yes. FY includes German-language preparation, although the schedule depends on your group.</t>
  </si>
  <si>
    <t xml:space="preserve">cse_034_german_de</t>
  </si>
  <si>
    <t xml:space="preserve">Beinhaltet das Foundation Year (FY) auch Deutschunterricht im Studiengang CSE an der VGU?</t>
  </si>
  <si>
    <t xml:space="preserve">Ja. Das FY beinhaltet eine sprachliche Vorbereitung in Deutsch, wobei der genaue Stundenplan von Ihrer Gruppe abhängt.</t>
  </si>
  <si>
    <t xml:space="preserve">cse_035_presentation_vi</t>
  </si>
  <si>
    <t xml:space="preserve">FY có luyện thuyết trình không trong chương trình CSE tại VGU?</t>
  </si>
  <si>
    <t xml:space="preserve">Có. Bạn sẽ được rèn kỹ năng thuyết trình bằng tiếng Anh trong FY.</t>
  </si>
  <si>
    <t xml:space="preserve">cse_035_presentation</t>
  </si>
  <si>
    <t xml:space="preserve">cse_035_presentation_en</t>
  </si>
  <si>
    <t xml:space="preserve">Does FY develop presentation skills in the CSE program at VGU?</t>
  </si>
  <si>
    <t xml:space="preserve">Yes. FY includes practice in giving presentations in English.</t>
  </si>
  <si>
    <t xml:space="preserve">cse_035_presentation_de</t>
  </si>
  <si>
    <t xml:space="preserve">Fördert das FY auch Präsentationsfähigkeiten im Studiengang CSE an der VGU?</t>
  </si>
  <si>
    <t xml:space="preserve">Ja. Das FY beinhaltet Übungen zum Halten von Präsentationen auf Englisch.</t>
  </si>
  <si>
    <t xml:space="preserve">cse_036_writing_vi</t>
  </si>
  <si>
    <t xml:space="preserve">FY có học viết học thuật không trong chương trình CSE tại VGU?</t>
  </si>
  <si>
    <t xml:space="preserve">Có. Viết học thuật là một trong những kỹ năng được rèn trong FY.</t>
  </si>
  <si>
    <t xml:space="preserve">cse_036_writing</t>
  </si>
  <si>
    <t xml:space="preserve">cse_036_writing_en</t>
  </si>
  <si>
    <t xml:space="preserve">Does FY include academic writing in the CSE program at VGU?</t>
  </si>
  <si>
    <t xml:space="preserve">Yes. Academic writing is one of the skills developed during FY.</t>
  </si>
  <si>
    <t xml:space="preserve">cse_036_writing_de</t>
  </si>
  <si>
    <t xml:space="preserve">Beinhaltet das FY akademisches Schreiben im Studiengang CSE an der VGU?</t>
  </si>
  <si>
    <t xml:space="preserve">Ja. Akademisches Schreiben (Academic Writing) ist eine der Kompetenzen, die während des FY entwickelt werden.</t>
  </si>
  <si>
    <t xml:space="preserve">cse_037_phases_vi</t>
  </si>
  <si>
    <t xml:space="preserve">FY được chia thành mấy giai đoạn trong chương trình CSE tại VGU?</t>
  </si>
  <si>
    <t xml:space="preserve">Theo cấu trúc chung, FY gồm 4 phase trong 2 học kỳ. Mỗi phase kéo dài 8 tuần.</t>
  </si>
  <si>
    <t xml:space="preserve">https://vgu.edu.vn/study-programs/bachelor/fy/program-structure</t>
  </si>
  <si>
    <t xml:space="preserve">cse_037_phases</t>
  </si>
  <si>
    <t xml:space="preserve">cse_037_phases_en</t>
  </si>
  <si>
    <t xml:space="preserve">How many phases are there in FY in the CSE program at VGU?</t>
  </si>
  <si>
    <t xml:space="preserve">The general FY structure has four phases across two semesters, with eight weeks per phase.</t>
  </si>
  <si>
    <t xml:space="preserve">cse_037_phases_de</t>
  </si>
  <si>
    <t xml:space="preserve">Aus wie vielen Phasen besteht das FY im Studiengang CSE an der VGU?</t>
  </si>
  <si>
    <t xml:space="preserve">Die allgemeine FY-Struktur umfasst vier Phasen über zwei Semester mit jeweils acht Wochen pro Phase.</t>
  </si>
  <si>
    <t xml:space="preserve">cse_038_placement_vi</t>
  </si>
  <si>
    <t xml:space="preserve">EPT dùng để làm gì trong chương trình CSE tại VGU?</t>
  </si>
  <si>
    <t xml:space="preserve">EPT dùng để xếp bạn vào nhóm tiếng Anh phù hợp. Một số chứng chỉ hợp lệ có thể giúp bạn được miễn bài kiểm tra này.</t>
  </si>
  <si>
    <t xml:space="preserve">cse_038_placement</t>
  </si>
  <si>
    <t xml:space="preserve">cse_038_placement_en</t>
  </si>
  <si>
    <t xml:space="preserve">What is the EPT for in the CSE program at VGU?</t>
  </si>
  <si>
    <t xml:space="preserve">The EPT places you in an appropriate English group. Some valid certificates can exempt you from the test.</t>
  </si>
  <si>
    <t xml:space="preserve">cse_038_placement_de</t>
  </si>
  <si>
    <t xml:space="preserve">Wozu dient der EPT im Studiengang CSE an der VGU?</t>
  </si>
  <si>
    <t xml:space="preserve">Der EPT teilt Sie einer passenden Englischgruppe zu. Bestimmte gültige Sprachzertifikate können Sie von diesem Test befreien.</t>
  </si>
  <si>
    <t xml:space="preserve">cse_039_completion_credits_vi</t>
  </si>
  <si>
    <t xml:space="preserve">Năm đại cương (FY) tại VGU yêu cầu hoàn thành bao nhiêu phần trăm tín chỉ dự bị?</t>
  </si>
  <si>
    <t xml:space="preserve">Theo quy định chung của năm đại cương (FY), sinh viên cần hoàn thành ít nhất 80% tổng số tín chỉ nội bộ của chương trình FY để đủ điều kiện chuyển tiếp lên học kỳ chuyên ngành (lưu ý: tín chỉ FY không tính vào 180 ECTS chuyên ngành).</t>
  </si>
  <si>
    <t xml:space="preserve">cse_039_completion_credits</t>
  </si>
  <si>
    <t xml:space="preserve">cse_039_completion_credits_en</t>
  </si>
  <si>
    <t xml:space="preserve">What is the Foundation Year (FY) credit-completion threshold at VGU?</t>
  </si>
  <si>
    <t xml:space="preserve">General Foundation Year guidance requires students to complete at least 80% of the internal FY progression credits to advance to specialization studies (note: internal FY credits carry 0 ECTS toward the 180 ECTS bachelor degree).</t>
  </si>
  <si>
    <t xml:space="preserve">cse_039_completion_credits_de</t>
  </si>
  <si>
    <t xml:space="preserve">Wie hoch ist die Mindestquote an internen Credits für den Abschluss des Foundation Year (FY) an der VGU?</t>
  </si>
  <si>
    <t xml:space="preserve">Gemäß den allgemeinen Richtlinien müssen Studierende mindestens 80 % der internen FY-Punkte abschließen, um in das Fachstudium aufzusteigen (Hinweis: FY-Punkte zählen 0 ECTS für die 180 ECTS des Bachelorabschlusses).</t>
  </si>
  <si>
    <t xml:space="preserve">cse_040_deadline_vi</t>
  </si>
  <si>
    <t xml:space="preserve">Khóa CSE của mình phải nộp IELTS trước ngày nào?</t>
  </si>
  <si>
    <t xml:space="preserve">Bạn nên hỏi LCFY về hạn nộp của đúng khóa mình. Tài liệu công khai có các mốc khác nhau trong tháng 8 và cho phép điều chỉnh, nên chưa thể chốt một ngày chung.</t>
  </si>
  <si>
    <t xml:space="preserve">https://vgu.edu.vn/documents/10192/8332876/LCFY%2BRegulation_EN.pdf/4156e77c-ca99-477f-8dcc-d11e139d1dfc</t>
  </si>
  <si>
    <t xml:space="preserve">Cần hỏi lại VGU trước khi dùng thông tin này.</t>
  </si>
  <si>
    <t xml:space="preserve">cse_040_deadline</t>
  </si>
  <si>
    <t xml:space="preserve">cse_040_deadline_en</t>
  </si>
  <si>
    <t xml:space="preserve">When does my CSE cohort need to submit IELTS results?</t>
  </si>
  <si>
    <t xml:space="preserve">Ask LCFY for your cohort's deadline. The public document gives different August dates and allows adjustments, so a single deadline cannot be confirmed here.</t>
  </si>
  <si>
    <t xml:space="preserve">Confirm the missing details with VGU.</t>
  </si>
  <si>
    <t xml:space="preserve">cse_040_deadline_de</t>
  </si>
  <si>
    <t xml:space="preserve">Bis wann muss mein CSE-Jahrgang die IELTS-Ergebnisse einreichen?</t>
  </si>
  <si>
    <t xml:space="preserve">Fragen Sie bei LCFY nach der Frist für Ihren Jahrgang. Das öffentliche Dokument nennt verschiedene Termine im August und erlaubt Anpassungen, sodass hier kein einzelnes Datum bestätigt werden kann.</t>
  </si>
  <si>
    <t xml:space="preserve">Bitte klären Sie die fehlenden Details mit der VGU.</t>
  </si>
  <si>
    <t xml:space="preserve">cse_041_methods_vi</t>
  </si>
  <si>
    <t xml:space="preserve">admission</t>
  </si>
  <si>
    <t xml:space="preserve">VGU có các phương thức tuyển sinh nào?</t>
  </si>
  <si>
    <t xml:space="preserve">VGU có 5 phương thức: TestAS, xét học bạ, tuyển thẳng, xét chứng chỉ quốc tế và xét điểm thi tốt nghiệp THPT.</t>
  </si>
  <si>
    <t xml:space="preserve">cse_041_methods</t>
  </si>
  <si>
    <t xml:space="preserve">cse_041_methods_en</t>
  </si>
  <si>
    <t xml:space="preserve">Which admission routes are available in the CSE program at VGU?</t>
  </si>
  <si>
    <t xml:space="preserve">VGU has five admission routes: TestAS, school records, direct admission, international qualifications and high-school graduation-exam results.</t>
  </si>
  <si>
    <t xml:space="preserve">cse_041_methods_de</t>
  </si>
  <si>
    <t xml:space="preserve">Welche Zulassungsverfahren stehen zur Verfügung im Studiengang CSE an der VGU?</t>
  </si>
  <si>
    <t xml:space="preserve">Die VGU bietet fünf Zulassungsverfahren an: TestAS, Schulzeugnisse (học bạ), Direktzulassung, internationale Abschlüsse und Ergebnisse der nationalen Abiturprüfung (THPT).</t>
  </si>
  <si>
    <t xml:space="preserve">cse_042_multiple_vi</t>
  </si>
  <si>
    <t xml:space="preserve">Mình có thể đăng ký nhiều phương thức xét tuyển không trong chương trình CSE tại VGU?</t>
  </si>
  <si>
    <t xml:space="preserve">Có. Bạn có thể đăng ký nhiều phương thức; kết quả của từng phương thức được xét riêng.</t>
  </si>
  <si>
    <t xml:space="preserve">cse_042_multiple</t>
  </si>
  <si>
    <t xml:space="preserve">cse_042_multiple_en</t>
  </si>
  <si>
    <t xml:space="preserve">Can I apply through more than one admission route in the CSE program at VGU?</t>
  </si>
  <si>
    <t xml:space="preserve">Yes. You can apply through more than one route, and each route is assessed separately.</t>
  </si>
  <si>
    <t xml:space="preserve">cse_042_multiple_de</t>
  </si>
  <si>
    <t xml:space="preserve">Kann ich mich über mehr als ein Zulassungsverfahren bewerben im Studiengang CSE an der VGU?</t>
  </si>
  <si>
    <t xml:space="preserve">Ja. Sie können sich über mehrere Verfahren bewerben, wobei jedes Verfahren separat bewertet wird.</t>
  </si>
  <si>
    <t xml:space="preserve">cse_043_portal_vi</t>
  </si>
  <si>
    <t xml:space="preserve">Nộp hồ sơ VGU ở đâu?</t>
  </si>
  <si>
    <t xml:space="preserve">Bạn nộp hồ sơ trực tuyến tại https://apply.vgu.edu.vn.</t>
  </si>
  <si>
    <t xml:space="preserve">cse_043_portal</t>
  </si>
  <si>
    <t xml:space="preserve">cse_043_portal_en</t>
  </si>
  <si>
    <t xml:space="preserve">Where do I submit an application in the CSE program at VGU?</t>
  </si>
  <si>
    <t xml:space="preserve">You can submit your application online at https://apply.vgu.edu.vn.</t>
  </si>
  <si>
    <t xml:space="preserve">cse_043_portal_de</t>
  </si>
  <si>
    <t xml:space="preserve">Wo reiche ich meine Bewerbung ein im Studiengang CSE an der VGU?</t>
  </si>
  <si>
    <t xml:space="preserve">Sie können Ihre Bewerbung online unter https://apply.vgu.edu.vn einreichen.</t>
  </si>
  <si>
    <t xml:space="preserve">cse_044_testas_module_vi</t>
  </si>
  <si>
    <t xml:space="preserve">Muốn vào CSE thì chọn module nào của TestAS?</t>
  </si>
  <si>
    <t xml:space="preserve">Nếu đăng ký CSE, Subject Module cần dùng là Mathematics, Computer Science and Natural Sciences.</t>
  </si>
  <si>
    <t xml:space="preserve">cse_044_testas_module</t>
  </si>
  <si>
    <t xml:space="preserve">cse_044_testas_module_en</t>
  </si>
  <si>
    <t xml:space="preserve">Which TestAS subject module should I choose for CSE?</t>
  </si>
  <si>
    <t xml:space="preserve">For CSE, the required subject module is Mathematics, Computer Science and Natural Sciences.</t>
  </si>
  <si>
    <t xml:space="preserve">cse_044_testas_module_de</t>
  </si>
  <si>
    <t xml:space="preserve">Welches TestAS-Fachmodul sollte ich für CSE wählen?</t>
  </si>
  <si>
    <t xml:space="preserve">Für CSE ist das erforderliche Fachmodul Mathematics, Computer Science and Natural Sciences.</t>
  </si>
  <si>
    <t xml:space="preserve">cse_045_testas_weight_vi</t>
  </si>
  <si>
    <t xml:space="preserve">Điểm Digital TestAS được tính thế nào trong chương trình CSE tại VGU?</t>
  </si>
  <si>
    <t xml:space="preserve">Điểm tổng hợp Digital TestAS được tính bằng 40% điểm Core cộng với 60% điểm Subject Module.</t>
  </si>
  <si>
    <t xml:space="preserve">cse_045_testas_weight</t>
  </si>
  <si>
    <t xml:space="preserve">cse_045_testas_weight_en</t>
  </si>
  <si>
    <t xml:space="preserve">How is Digital TestAS weighted in the CSE program at VGU?</t>
  </si>
  <si>
    <t xml:space="preserve">The combined Digital TestAS score is 40% of your Core score plus 60% of your Subject Module score.</t>
  </si>
  <si>
    <t xml:space="preserve">cse_045_testas_weight_de</t>
  </si>
  <si>
    <t xml:space="preserve">Wie wird der digitale TestAS gewichtet im Studiengang CSE an der VGU?</t>
  </si>
  <si>
    <t xml:space="preserve">Die Gesamtpunktzahl des digitalen TestAS setzt sich aus 40 % des Kerntests (Core) und 60 % des Fachmoduls (Subject Module) zusammen.</t>
  </si>
  <si>
    <t xml:space="preserve">cse_046_testas_floor_vi</t>
  </si>
  <si>
    <t xml:space="preserve">Digital TestAS được 50 điểm mỗi phần là đủ đậu chưa trong chương trình CSE tại VGU?</t>
  </si>
  <si>
    <t xml:space="preserve">Chưa. Mức 50 điểm mỗi phần chỉ là yêu cầu tối thiểu cho từng phần. Bạn vẫn phải đạt điểm chuẩn và các điều kiện xét tuyển khác.</t>
  </si>
  <si>
    <t xml:space="preserve">cse_046_testas_floor</t>
  </si>
  <si>
    <t xml:space="preserve">cse_046_testas_floor_en</t>
  </si>
  <si>
    <t xml:space="preserve">Is 50 in each Digital TestAS part enough to get admitted in the CSE program at VGU?</t>
  </si>
  <si>
    <t xml:space="preserve">No. A score of 50 in each part only meets the component minimum. You still need to meet the admission cutoff and other requirements.</t>
  </si>
  <si>
    <t xml:space="preserve">cse_046_testas_floor_de</t>
  </si>
  <si>
    <t xml:space="preserve">Reichen 50 Punkte in jedem Teil des digitalen TestAS für eine Zulassung aus im Studiengang CSE an der VGU?</t>
  </si>
  <si>
    <t xml:space="preserve">Nein. Ein Wert von 50 Punkten pro Teil erfüllt lediglich das Mindestkriterium der Teilprüfung. Sie müssen dennoch die Zulassungsgrenze und die weiteren Voraussetzungen erfüllen.</t>
  </si>
  <si>
    <t xml:space="preserve">cse_047_paper_testas_vi</t>
  </si>
  <si>
    <t xml:space="preserve">TestAS giấy yêu cầu tối thiểu mỗi phần bao nhiêu trong chương trình CSE tại VGU?</t>
  </si>
  <si>
    <t xml:space="preserve">Mỗi phần của TestAS giấy cần đạt ít nhất 90 điểm. Ngoài ra, bạn vẫn phải đáp ứng các điều kiện xét tuyển còn lại.</t>
  </si>
  <si>
    <t xml:space="preserve">cse_047_paper_testas</t>
  </si>
  <si>
    <t xml:space="preserve">cse_047_paper_testas_en</t>
  </si>
  <si>
    <t xml:space="preserve">What is the paper TestAS component minimum in the CSE program at VGU?</t>
  </si>
  <si>
    <t xml:space="preserve">Each paper-based TestAS component must be at least 90. The remaining admission requirements still apply.</t>
  </si>
  <si>
    <t xml:space="preserve">cse_047_paper_testas_de</t>
  </si>
  <si>
    <t xml:space="preserve">Wie hoch ist die Mindestpunktzahl pro Teil beim papierbasierten TestAS im Studiengang CSE an der VGU?</t>
  </si>
  <si>
    <t xml:space="preserve">Jeder Teil des papierbasierten TestAS muss mindestens 90 Punkte erreichen. Die übrigen Zulassungsvoraussetzungen gelten weiterhin.</t>
  </si>
  <si>
    <t xml:space="preserve">cse_048_transcript_year_vi</t>
  </si>
  <si>
    <t xml:space="preserve">Mình tốt nghiệp THPT trước năm 2026 thì có xét học bạ năm 2026 được không trong chương trình CSE tại VGU?</t>
  </si>
  <si>
    <t xml:space="preserve">Không theo phương thức 2 của năm 2026. Phương thức này chỉ dành cho thí sinh tốt nghiệp THPT tại Việt Nam trong năm 2026.</t>
  </si>
  <si>
    <t xml:space="preserve">cse_048_transcript_year</t>
  </si>
  <si>
    <t xml:space="preserve">cse_048_transcript_year_en</t>
  </si>
  <si>
    <t xml:space="preserve">Can I use the 2026 school-record route if I graduated before 2026 in the CSE program at VGU?</t>
  </si>
  <si>
    <t xml:space="preserve">Not through Method 2 for 2026. That route is limited to students graduating from Vietnamese high schools in 2026.</t>
  </si>
  <si>
    <t xml:space="preserve">cse_048_transcript_year_de</t>
  </si>
  <si>
    <t xml:space="preserve">Kann ich mich 2026 über das Zeugnisverfahren bewerben, wenn ich meinen Schulabschluss vor 2026 gemacht habe im Studiengang CSE an der VGU?</t>
  </si>
  <si>
    <t xml:space="preserve">Nicht über Verfahren 2 für das Jahr 2026. Dieses Verfahren ist auf Bewerber beschränkt, die 2026 ihren Abschluss an einer vietnamesischen Oberschule machen.</t>
  </si>
  <si>
    <t xml:space="preserve">cse_049_supplement_cutoffs_vi</t>
  </si>
  <si>
    <t xml:space="preserve">Đợt tuyển sinh bổ sung CSE năm 2026 nhận hồ sơ từ mức điểm nào?</t>
  </si>
  <si>
    <t xml:space="preserve">Trong đợt bổ sung năm 2026, mức nhận hồ sơ CSE là 20 điểm với phương thức 5 và 8,04 với phương thức 2. Đây là mức của đợt bổ sung đó.</t>
  </si>
  <si>
    <t xml:space="preserve">https://tuyensinh.vgu.edu.vn/post/th%C3%B4ng-b%C3%A1o-tuy%E1%BB%83n-sinh-b%E1%BB%95-sung-n%C4%83m-2026</t>
  </si>
  <si>
    <t xml:space="preserve">Thông tin của đợt tuyển sinh đã qua. Áp dụng cho khóa/năm 2026.</t>
  </si>
  <si>
    <t xml:space="preserve">cse_049_supplement_cutoffs</t>
  </si>
  <si>
    <t xml:space="preserve">cse_049_supplement_cutoffs_en</t>
  </si>
  <si>
    <t xml:space="preserve">What were the CSE application thresholds for the 2026 supplementary round?</t>
  </si>
  <si>
    <t xml:space="preserve">For the 2026 supplementary round, the CSE application thresholds were 20 for Method 5 and 8.04 for Method 2. These figures apply to that round only.</t>
  </si>
  <si>
    <t xml:space="preserve">Information from a past admission round. For intake/admission year 2026.</t>
  </si>
  <si>
    <t xml:space="preserve">cse_049_supplement_cutoffs_de</t>
  </si>
  <si>
    <t xml:space="preserve">Wie hoch waren die CSE-Bewerbungsschwellen in der Nachrückrunde 2026?</t>
  </si>
  <si>
    <t xml:space="preserve">In der ergänzenden Bewerbungsrunde 2026 lagen die Schwellenwerte für CSE bei 20 Punkten für Verfahren 5 und 8,04 für Verfahren 2. Diese Werte gelten nur für diese Runde.</t>
  </si>
  <si>
    <t xml:space="preserve">Informationen aus einer vergangenen Bewerbungsrunde. Gilt für den Jahrgang / das Zulassungsjahr 2026.</t>
  </si>
  <si>
    <t xml:space="preserve">cse_050_application_open_vi</t>
  </si>
  <si>
    <t xml:space="preserve">Bây giờ còn đăng ký CSE cho năm 2026 được không?</t>
  </si>
  <si>
    <t xml:space="preserve">Đợt bổ sung đã công bố kết thúc chậm nhất ngày 30/09/2026, hoặc sớm hơn nếu đủ hồ sơ. Bạn cần hỏi phòng tuyển sinh xem có đợt tiếp theo không.</t>
  </si>
  <si>
    <t xml:space="preserve">Cần hỏi lại VGU trước khi dùng thông tin này. Áp dụng cho khóa/năm 2026.</t>
  </si>
  <si>
    <t xml:space="preserve">cse_050_application_open</t>
  </si>
  <si>
    <t xml:space="preserve">cse_050_application_open_en</t>
  </si>
  <si>
    <t xml:space="preserve">Can I still apply for CSE for the 2026 intake?</t>
  </si>
  <si>
    <t xml:space="preserve">The announced supplementary round ended by 30 September 2026, or earlier if enough applications were received. Ask admissions whether another round is available.</t>
  </si>
  <si>
    <t xml:space="preserve">Confirm the missing details with VGU. For intake/admission year 2026.</t>
  </si>
  <si>
    <t xml:space="preserve">cse_050_application_open_de</t>
  </si>
  <si>
    <t xml:space="preserve">Kann ich mich noch für CSE für den Jahrgang 2026 bewerben?</t>
  </si>
  <si>
    <t xml:space="preserve">Die angekündigte Nachrückrunde endete spätestens am 30. September 2026 oder früher bei ausreichender Bewerberzahl. Fragen Sie bei der Zulassungsstelle nach, ob eine weitere Runde angeboten wird.</t>
  </si>
  <si>
    <t xml:space="preserve">Bitte klären Sie die fehlenden Details mit der VGU. Gilt für den Jahrgang / das Zulassungsjahr 2026.</t>
  </si>
  <si>
    <t xml:space="preserve">cse_051_ielts_entry_vi</t>
  </si>
  <si>
    <t xml:space="preserve">english_requirement</t>
  </si>
  <si>
    <t xml:space="preserve">IELTS đầu vào tối thiểu là bao nhiêu trong chương trình CSE tại VGU?</t>
  </si>
  <si>
    <t xml:space="preserve">Một cách đáp ứng yêu cầu đầu vào là có IELTS Academic từ 5.0, còn hiệu lực khi nộp hồ sơ, hoặc chứng chỉ tương đương được VGU chấp nhận.</t>
  </si>
  <si>
    <t xml:space="preserve">cse_051_ielts_entry</t>
  </si>
  <si>
    <t xml:space="preserve">cse_051_ielts_entry_en</t>
  </si>
  <si>
    <t xml:space="preserve">What is the entrance IELTS minimum in the CSE program at VGU?</t>
  </si>
  <si>
    <t xml:space="preserve">One way to meet the entrance English requirement is a valid IELTS Academic score of at least 5.0, or an equivalent accepted by VGU.</t>
  </si>
  <si>
    <t xml:space="preserve">cse_051_ielts_entry_de</t>
  </si>
  <si>
    <t xml:space="preserve">Wie hoch ist die Mindestpunktzahl im IELTS für die Zulassung im Studiengang CSE an der VGU?</t>
  </si>
  <si>
    <t xml:space="preserve">Eine Möglichkeit zur Erfüllung der sprachlichen Zulassungsvoraussetzung ist ein gültiges IELTS Academic-Ergebnis von mindestens 5.0 oder ein von der VGU anerkanntes Äquivalent.</t>
  </si>
  <si>
    <t xml:space="preserve">cse_052_etest_score_vi</t>
  </si>
  <si>
    <t xml:space="preserve">ETEST cần đạt bao nhiêu trong chương trình CSE tại VGU?</t>
  </si>
  <si>
    <t xml:space="preserve">Bạn cần đạt ít nhất 75/100 điểm ETEST và thi trong năm tuyển sinh.</t>
  </si>
  <si>
    <t xml:space="preserve">cse_052_etest_score</t>
  </si>
  <si>
    <t xml:space="preserve">cse_052_etest_score_en</t>
  </si>
  <si>
    <t xml:space="preserve">What ETEST score is required in the CSE program at VGU?</t>
  </si>
  <si>
    <t xml:space="preserve">You need at least 75 out of 100 on ETEST, taken in the admission year.</t>
  </si>
  <si>
    <t xml:space="preserve">cse_052_etest_score_de</t>
  </si>
  <si>
    <t xml:space="preserve">Welche ETEST-Punktzahl ist erforderlich im Studiengang CSE an der VGU?</t>
  </si>
  <si>
    <t xml:space="preserve">Sie benötigen mindestens 75 von 100 Punkten im ETEST, abgelegt im jeweiligen Zulassungsjahr.</t>
  </si>
  <si>
    <t xml:space="preserve">cse_053_etest_skills_vi</t>
  </si>
  <si>
    <t xml:space="preserve">ETEST kiểm tra những kỹ năng nào trong chương trình CSE tại VGU?</t>
  </si>
  <si>
    <t xml:space="preserve">ETEST kiểm tra đủ 4 kỹ năng: nghe, nói, đọc và viết.</t>
  </si>
  <si>
    <t xml:space="preserve">cse_053_etest_skills</t>
  </si>
  <si>
    <t xml:space="preserve">cse_053_etest_skills_en</t>
  </si>
  <si>
    <t xml:space="preserve">Which skills does ETEST assess in the CSE program at VGU?</t>
  </si>
  <si>
    <t xml:space="preserve">ETEST tests all four skills: listening, speaking, reading and writing.</t>
  </si>
  <si>
    <t xml:space="preserve">cse_053_etest_skills_de</t>
  </si>
  <si>
    <t xml:space="preserve">Welche Fertigkeiten prüft der ETEST im Studiengang CSE an der VGU?</t>
  </si>
  <si>
    <t xml:space="preserve">Der ETEST prüft alle vier Fertigkeiten: Hören, Sprechen, Lesen und Schreiben.</t>
  </si>
  <si>
    <t xml:space="preserve">cse_054_school_english_vi</t>
  </si>
  <si>
    <t xml:space="preserve">Dùng điểm tiếng Anh học bạ để vào CSE năm 2026 thì cần bao nhiêu?</t>
  </si>
  <si>
    <t xml:space="preserve">Với CSE năm 2026, điểm tiếng Anh trung bình ba năm THPT cần từ 8,0/10. Cách này chỉ áp dụng cho phương thức 2 và 5.</t>
  </si>
  <si>
    <t xml:space="preserve">cse_054_school_english</t>
  </si>
  <si>
    <t xml:space="preserve">cse_054_school_english_en</t>
  </si>
  <si>
    <t xml:space="preserve">What school-English average do I need for CSE admission in 2026?</t>
  </si>
  <si>
    <t xml:space="preserve">For CSE admission in 2026, your three-year high-school English average must be at least 8.0 out of 10. This option applies only to Methods 2 and 5.</t>
  </si>
  <si>
    <t xml:space="preserve">cse_054_school_english_de</t>
  </si>
  <si>
    <t xml:space="preserve">Welchen Englisch-Notendurchschnitt aus der Schule benötige ich 2026 für die CSE-Zulassung?</t>
  </si>
  <si>
    <t xml:space="preserve">Für die CSE-Zulassung 2026 muss Ihr dreijähriger Englischdurchschnitt der Oberstufe mindestens 8,0 von 10 betragen. Diese Option gilt nur für die Verfahren 2 und 5.</t>
  </si>
  <si>
    <t xml:space="preserve">cse_055_progression_vi</t>
  </si>
  <si>
    <t xml:space="preserve">Có IELTS 5.0 đầu vào rồi thì đã đủ điều kiện tiếng Anh để kết thúc FY chưa trong chương trình CSE tại VGU?</t>
  </si>
  <si>
    <t xml:space="preserve">Chưa đủ theo hướng dẫn FY. IELTS 5.0 là mức đầu vào, còn trang FY yêu cầu chứng chỉ IELTS từ 6.0 để hoàn thành giai đoạn này.</t>
  </si>
  <si>
    <t xml:space="preserve">cse_055_progression</t>
  </si>
  <si>
    <t xml:space="preserve">cse_055_progression_en</t>
  </si>
  <si>
    <t xml:space="preserve">Does entrance IELTS 5.0 also meet the English requirement for finishing FY in the CSE program at VGU?</t>
  </si>
  <si>
    <t xml:space="preserve">Not under the FY guidance. IELTS 5.0 is an entrance requirement, while the FY page requires an IELTS certificate of at least 6.0 for completion.</t>
  </si>
  <si>
    <t xml:space="preserve">cse_055_progression_de</t>
  </si>
  <si>
    <t xml:space="preserve">Erfüllt ein Eingangs-IELTS von 5.0 auch schon die Englischanforderung für den Abschluss des FY im Studiengang CSE an der VGU?</t>
  </si>
  <si>
    <t xml:space="preserve">Nicht nach den FY-Richtlinien. IELTS 5.0 ist eine Zulassungsvoraussetzung, während die FY-Seite für den Abschluss des Orientierungsjahres ein IELTS-Zertifikat von mindestens 6.0 verlangt.</t>
  </si>
  <si>
    <t xml:space="preserve">cse_056_english_exemption_vi</t>
  </si>
  <si>
    <t xml:space="preserve">Những trường hợp nào được miễn yêu cầu chứng chỉ tiếng Anh đầu vào khi xét tuyển ngành CSE tại VGU?</t>
  </si>
  <si>
    <t xml:space="preserve">Theo quy chế tuyển sinh VGU, thí sinh được miễn yêu cầu tiếng Anh đầu vào nếu thuộc một trong hai diện: (1) đến từ quốc gia có tiếng Anh là ngôn ngữ chính thức (theo Phụ lục 2), hoặc (2) tốt nghiệp chương trình THPT quốc tế được giảng dạy và đánh giá hoàn toàn bằng tiếng Anh (có văn bản xác nhận của trường).</t>
  </si>
  <si>
    <t xml:space="preserve">Bổ sung từ quy chế tuyển sinh chính thức VGU (nhóm cse-admissions) để hoàn thiện dãy mã cse_001–cse_140. Áp dụng cho khóa/năm 2026.</t>
  </si>
  <si>
    <t xml:space="preserve">cse_056_english_exemption</t>
  </si>
  <si>
    <t xml:space="preserve">cse_056_english_exemption_en</t>
  </si>
  <si>
    <t xml:space="preserve">Which applicants are exempt from the entrance English proficiency requirement for CSE at VGU?</t>
  </si>
  <si>
    <t xml:space="preserve">Under VGU's admission regulations, applicants are exempt from the entrance English requirement if they: (1) come from countries where English is an official language (Appendix 2), or (2) graduated from an international high school program taught and assessed entirely in English (with an official confirmation letter from the school).</t>
  </si>
  <si>
    <t xml:space="preserve">Added from official VGU admission regulations (group cse-admissions) to complete the cse_001–cse_140 sequence. For intake/admission year 2026.</t>
  </si>
  <si>
    <t xml:space="preserve">cse_056_english_exemption_de</t>
  </si>
  <si>
    <t xml:space="preserve">Welche Bewerber sind bei der Zulassung zum Studiengang CSE an der VGU von den Englischanforderungen befreit?</t>
  </si>
  <si>
    <t xml:space="preserve">Gemäß der VGU-Zulassungsordnung sind Bewerber von der Englischanforderung befreit, wenn sie: (1) aus Ländern mit Englisch als Amtssprache stammen (Anhang 2) oder (2) ein internationales Gymnasium abgeschlossen haben, an dem Unterricht und Prüfungen vollständig auf Englisch stattfanden (mit offizieller Schulbestätigung).</t>
  </si>
  <si>
    <t xml:space="preserve">Ergänzt aus der offiziellen VGU-Zulassungsordnung (Gruppe cse-admissions) zur Vervollständigung der Sequenz cse_001–cse_140. Gilt für den Jahrgang / das Zulassungsjahr 2026.</t>
  </si>
  <si>
    <t xml:space="preserve">cse_057_domestic_vi</t>
  </si>
  <si>
    <t xml:space="preserve">tuition</t>
  </si>
  <si>
    <t xml:space="preserve">Sinh viên Việt Nam khóa CSE 2026 đóng học phí bao nhiêu?</t>
  </si>
  <si>
    <t xml:space="preserve">Với sinh viên Việt Nam nhập học CSE khóa 2026, học phí là 43.700.000 đồng mỗi học kỳ.</t>
  </si>
  <si>
    <t xml:space="preserve">https://vgu.edu.vn/en/tuition-fees/for-bachelor-programs</t>
  </si>
  <si>
    <t xml:space="preserve">Đối chiếu qua bản nội dung được công cụ tìm kiếm lưu lại. Áp dụng cho khóa/năm 2026.</t>
  </si>
  <si>
    <t xml:space="preserve">cse_057_domestic</t>
  </si>
  <si>
    <t xml:space="preserve">cse_057_domestic_en</t>
  </si>
  <si>
    <t xml:space="preserve">How much do Vietnamese students in CSE intake 2026 pay per semester?</t>
  </si>
  <si>
    <t xml:space="preserve">For Vietnamese students entering CSE in 2026, tuition is VND 43,700,000 per semester.</t>
  </si>
  <si>
    <t xml:space="preserve">Checked against the search-indexed version of the source page. For intake/admission year 2026.</t>
  </si>
  <si>
    <t xml:space="preserve">cse_057_domestic_de</t>
  </si>
  <si>
    <t xml:space="preserve">Wie viel Studiengebühren zahlen vietnamesische Studierende im CSE-Jahrgang 2026 pro Semester?</t>
  </si>
  <si>
    <t xml:space="preserve">Für vietnamesische Studierende, die 2026 mit CSE beginnen, beträgt die Studiengebühr 43.700.000 VND pro Semester.</t>
  </si>
  <si>
    <t xml:space="preserve">Abgeglichen mit der suchindexierten Version der Quellseite. Gilt für den Jahrgang / das Zulassungsjahr 2026.</t>
  </si>
  <si>
    <t xml:space="preserve">cse_058_international_vi</t>
  </si>
  <si>
    <t xml:space="preserve">Học phí CSE 2026 cho sinh viên quốc tế là bao nhiêu?</t>
  </si>
  <si>
    <t xml:space="preserve">Mức niêm yết cho sinh viên quốc tế khóa 2026 là 65.550.000 đồng mỗi học kỳ. Một số đối tượng được áp dụng ngoại lệ.</t>
  </si>
  <si>
    <t xml:space="preserve">cse_058_international</t>
  </si>
  <si>
    <t xml:space="preserve">cse_058_international_en</t>
  </si>
  <si>
    <t xml:space="preserve">What is the international CSE intake-2026 rate?</t>
  </si>
  <si>
    <t xml:space="preserve">The listed international rate for intake 2026 is VND 65,550,000 per semester. Exceptions apply to certain student groups.</t>
  </si>
  <si>
    <t xml:space="preserve">cse_058_international_de</t>
  </si>
  <si>
    <t xml:space="preserve">Wie hoch ist die Studiengebühr für internationale Studierende im CSE-Jahrgang 2026?</t>
  </si>
  <si>
    <t xml:space="preserve">Der ausgewiesene Satz für internationale Studierende des Jahrgangs 2026 beträgt 65.550.000 VND pro Semester. Für bestimmte Studierendengruppen gelten Ausnahmen.</t>
  </si>
  <si>
    <t xml:space="preserve">cse_059_fixed_vi</t>
  </si>
  <si>
    <t xml:space="preserve">Học phí có giữ nguyên theo khóa không trong chương trình CSE tại VGU?</t>
  </si>
  <si>
    <t xml:space="preserve">Theo thông báo học phí, mức thu mỗi học kỳ được giữ nguyên trong thời gian đào tạo chuẩn của khóa.</t>
  </si>
  <si>
    <t xml:space="preserve">cse_059_fixed</t>
  </si>
  <si>
    <t xml:space="preserve">cse_059_fixed_en</t>
  </si>
  <si>
    <t xml:space="preserve">Is the semester tuition fixed for an intake in the CSE program at VGU?</t>
  </si>
  <si>
    <t xml:space="preserve">The fee notice states that the semester rate stays the same throughout the intake's standard study period.</t>
  </si>
  <si>
    <t xml:space="preserve">cse_059_fixed_de</t>
  </si>
  <si>
    <t xml:space="preserve">Bleibt die Semestergebühr für einen Jahrgang konstant im Studiengang CSE an der VGU?</t>
  </si>
  <si>
    <t xml:space="preserve">Laut Gebührenbekanntmachung bleibt der Semestersatz während der gesamten Regelstudienzeit des jeweiligen Jahrgangs unverändert.</t>
  </si>
  <si>
    <t xml:space="preserve">cse_060_annual_vi</t>
  </si>
  <si>
    <t xml:space="preserve">Tính 2 học kỳ thì học phí CSE khóa 2026 khoảng bao nhiêu?</t>
  </si>
  <si>
    <t xml:space="preserve">Nếu tính 2 học kỳ theo mức dành cho sinh viên Việt Nam khóa 2026, học phí là khoảng 87.400.000 đồng (2 × 43.700.000). Số này chưa gồm các khoản khác.</t>
  </si>
  <si>
    <t xml:space="preserve">Số tiền ước tính, không phải thông báo thu học phí. Đối chiếu qua bản nội dung được công cụ tìm kiếm lưu lại. Áp dụng cho khóa/năm 2026.</t>
  </si>
  <si>
    <t xml:space="preserve">cse_060_annual</t>
  </si>
  <si>
    <t xml:space="preserve">ESTIMATED</t>
  </si>
  <si>
    <t xml:space="preserve">cse_060_annual_en</t>
  </si>
  <si>
    <t xml:space="preserve">How much would two semesters of CSE tuition cost for intake 2026?</t>
  </si>
  <si>
    <t xml:space="preserve">For a Vietnamese student in intake 2026, two semesters come to VND 87,400,000 (2 × 43,700,000), excluding other costs.</t>
  </si>
  <si>
    <t xml:space="preserve">An estimate, not a tuition invoice. Checked against the search-indexed version of the source page. For intake/admission year 2026.</t>
  </si>
  <si>
    <t xml:space="preserve">cse_060_annual_de</t>
  </si>
  <si>
    <t xml:space="preserve">Wie viel kosten zwei Semester CSE-Studiengebühren für den Jahrgang 2026?</t>
  </si>
  <si>
    <t xml:space="preserve">Für vietnamesische Studierende des Jahrgangs 2026 belaufen sich zwei Semester auf 87.400.000 VND (2 × 43.700.000), ohne sonstige Kosten.</t>
  </si>
  <si>
    <t xml:space="preserve">Ein Schätzwert, kein offizieller Gebührenbescheid. Abgeglichen mit der suchindexierten Version der Quellseite. Gilt für den Jahrgang / das Zulassungsjahr 2026.</t>
  </si>
  <si>
    <t xml:space="preserve">cse_061_full_program_vi</t>
  </si>
  <si>
    <t xml:space="preserve">Học phí chuẩn 4 năm CSE khóa 2026 khoảng bao nhiêu?</t>
  </si>
  <si>
    <t xml:space="preserve">Với sinh viên Việt Nam khóa 2026, tính theo 8 học kỳ, học phí ước tính là 349.600.000 đồng (8 × 43.700.000), trước khi trừ học bổng. Đây chưa phải tổng chi phí đi học vì chưa tính sinh hoạt, trao đổi và các khoản khác.</t>
  </si>
  <si>
    <t xml:space="preserve">cse_061_full_program</t>
  </si>
  <si>
    <t xml:space="preserve">cse_061_full_program_en</t>
  </si>
  <si>
    <t xml:space="preserve">What is the estimated four-year CSE tuition for intake 2026?</t>
  </si>
  <si>
    <t xml:space="preserve">For a Vietnamese student in intake 2026, over eight semesters, estimated tuition is VND 349,600,000 (8 × 43,700,000) before scholarships. This excludes living expenses, exchange costs and other charges.</t>
  </si>
  <si>
    <t xml:space="preserve">cse_061_full_program_de</t>
  </si>
  <si>
    <t xml:space="preserve">Wie hoch sind die geschätzten Studiengebühren für vier Jahre CSE im Jahrgang 2026?</t>
  </si>
  <si>
    <t xml:space="preserve">Für vietnamesische Studierende im Jahrgang 2026 liegen die geschätzten Studiengebühren über acht Semester bei 349.600.000 VND (8 × 43.700.000) vor Abzug von Stipendien. Lebenshaltungs-, Austausch- und sonstige Nebenkosten sind darin nicht enthalten.</t>
  </si>
  <si>
    <t xml:space="preserve">cse_062_partner_fee_vi</t>
  </si>
  <si>
    <t xml:space="preserve">Sinh viên ngành CSE tại VGU có phải đóng phí đào tạo cho trường đại học đối tác Đức không?</t>
  </si>
  <si>
    <t xml:space="preserve">Có. Theo thông tin học phí chính thức của VGU, phí đào tạo trường đại học đối tác Đức đối với sinh viên ngành CSE là 560 EUR/sinh viên, được nộp trong giai đoạn học chuyên ngành. Bạn nên kiểm tra thông báo thu phí cụ thể của khóa mình để biết lịch đóng chi tiết.</t>
  </si>
  <si>
    <t xml:space="preserve">https://vgu.edu.vn/vi/hoc-phi-hoc-bong</t>
  </si>
  <si>
    <t xml:space="preserve">Cần hỏi lại VGU trước khi dùng thông tin này. Đối chiếu qua bản nội dung được công cụ tìm kiếm lưu lại. Áp dụng cho khóa/năm 2026.</t>
  </si>
  <si>
    <t xml:space="preserve">cse_062_partner_fee</t>
  </si>
  <si>
    <t xml:space="preserve">cse_062_partner_fee_en</t>
  </si>
  <si>
    <t xml:space="preserve">Is there a German partner-university training fee for CSE students at VGU?</t>
  </si>
  <si>
    <t xml:space="preserve">Yes. According to VGU's official tuition and fee policy, the German partner university training fee for CSE students is 560 EUR per student, payable during the specialization phase. Check your cohort's fee schedule for exact payment dates.</t>
  </si>
  <si>
    <t xml:space="preserve">https://vgu.edu.vn/en/tuition-scholarships</t>
  </si>
  <si>
    <t xml:space="preserve">Confirm the missing details with VGU. Checked against the search-indexed version of the source page. For intake/admission year 2026.</t>
  </si>
  <si>
    <t xml:space="preserve">cse_062_partner_fee_de</t>
  </si>
  <si>
    <t xml:space="preserve">Gibt es für CSE-Studierende an der VGU eine Ausbildungsgebühr der deutschen Partnerhochschule?</t>
  </si>
  <si>
    <t xml:space="preserve">Ja. Gemäß der offiziellen Gebührenordnung der VGU beträgt der Ausbildungsbeitrag für die deutsche Partnerhochschule im Studiengang CSE 560 EUR pro Studierendem, zahlbar während des Fachstudiums. Prüfen Sie den Gebührenbescheid Ihres Jahrgangs für die genauen Zahlungsfristen.</t>
  </si>
  <si>
    <t xml:space="preserve">https://vgu.edu.vn/de/gebuehren-stipendien</t>
  </si>
  <si>
    <t xml:space="preserve">Bitte klären Sie die fehlenden Details mit der VGU. Abgeglichen mit der suchindexierten Version der Quellseite. Gilt für den Jahrgang / das Zulassungsjahr 2026.</t>
  </si>
  <si>
    <t xml:space="preserve">cse_063_directory_vi</t>
  </si>
  <si>
    <t xml:space="preserve">scholarship</t>
  </si>
  <si>
    <t xml:space="preserve">Tra cứu học bổng cử nhân VGU ở đâu?</t>
  </si>
  <si>
    <t xml:space="preserve">Bạn có thể xem các học bổng bậc cử nhân trên trang Scholarships for Bachelor Programs của VGU.</t>
  </si>
  <si>
    <t xml:space="preserve">https://vgu.edu.vn/scholarships-for-bachelor-programs</t>
  </si>
  <si>
    <t xml:space="preserve">cse_063_directory</t>
  </si>
  <si>
    <t xml:space="preserve">cse_063_directory_en</t>
  </si>
  <si>
    <t xml:space="preserve">Where can I find undergraduate scholarships in the CSE program at VGU?</t>
  </si>
  <si>
    <t xml:space="preserve">You can find undergraduate scholarship information on VGU's Scholarships for Bachelor Programs page.</t>
  </si>
  <si>
    <t xml:space="preserve">cse_063_directory_de</t>
  </si>
  <si>
    <t xml:space="preserve">Wo finde ich Informationen zu Bachelor-Stipendien im Studiengang CSE an der VGU?</t>
  </si>
  <si>
    <t xml:space="preserve">Informationen zu Stipendien für Bachelorstudiengänge finden Sie auf der VGU-Seite Scholarships for Bachelor Programs.</t>
  </si>
  <si>
    <t xml:space="preserve">cse_064_full_coverage_vi</t>
  </si>
  <si>
    <t xml:space="preserve">Full Merit 2026 hỗ trợ gì trong chương trình CSE tại VGU?</t>
  </si>
  <si>
    <t xml:space="preserve">Full Merit 2026 hỗ trợ 100% học phí trong lộ trình 4 năm, với điều kiện bạn tiếp tục đáp ứng yêu cầu duy trì học bổng.</t>
  </si>
  <si>
    <t xml:space="preserve">https://vgu.edu.vn/en/vgu-full-merit-scholarship-for-intake-2026</t>
  </si>
  <si>
    <t xml:space="preserve">cse_064_full_coverage</t>
  </si>
  <si>
    <t xml:space="preserve">cse_064_full_coverage_en</t>
  </si>
  <si>
    <t xml:space="preserve">What does the 2026 Full Merit award cover in the CSE program at VGU?</t>
  </si>
  <si>
    <t xml:space="preserve">Full Merit 2026 covers 100% of tuition over the four-year program, provided you continue to meet the renewal requirements.</t>
  </si>
  <si>
    <t xml:space="preserve">cse_064_full_coverage_de</t>
  </si>
  <si>
    <t xml:space="preserve">Was deckt das Full-Merit-Stipendium 2026 ab im Studiengang CSE an der VGU?</t>
  </si>
  <si>
    <t xml:space="preserve">Das Full-Merit-Stipendium 2026 deckt 100 % der Studiengebühren über das vierjährige Programm ab, sofern Sie die Verlängerungsvoraussetzungen weiterhin erfüllen.</t>
  </si>
  <si>
    <t xml:space="preserve">cse_065_english_vi</t>
  </si>
  <si>
    <t xml:space="preserve">Xin Full Merit 2026 thì cần IELTS bao nhiêu trong chương trình CSE tại VGU?</t>
  </si>
  <si>
    <t xml:space="preserve">Bạn cần chứng chỉ tiếng Anh quốc tế hợp lệ tương đương IELTS Academic từ 7.0. Ngoài tiếng Anh, học bổng còn có yêu cầu về thành tích học tập.</t>
  </si>
  <si>
    <t xml:space="preserve">cse_065_english</t>
  </si>
  <si>
    <t xml:space="preserve">cse_065_english_en</t>
  </si>
  <si>
    <t xml:space="preserve">What IELTS level is needed to apply for Full Merit 2026 in the CSE program at VGU?</t>
  </si>
  <si>
    <t xml:space="preserve">You need a valid international English certificate equivalent to IELTS Academic 7.0 or above. Academic achievement requirements also apply.</t>
  </si>
  <si>
    <t xml:space="preserve">cse_065_english_de</t>
  </si>
  <si>
    <t xml:space="preserve">Welches IELTS-Niveau ist für die Bewerbung um das Full-Merit-Stipendium 2026 erforderlich im Studiengang CSE an der VGU?</t>
  </si>
  <si>
    <t xml:space="preserve">Sie benötigen ein gültiges internationales Englischzertifikat, das mindestens IELTS Academic 7.0 entspricht. Zudem gelten Anforderungen an die akademischen Leistungen.</t>
  </si>
  <si>
    <t xml:space="preserve">cse_066_academic_vi</t>
  </si>
  <si>
    <t xml:space="preserve">Ngoài tiếng Anh, muốn xin Full Merit cần thành tích gì trong chương trình CSE tại VGU?</t>
  </si>
  <si>
    <t xml:space="preserve">Bạn cần thuộc một trong các diện được quy định: đạt mức học bổng 100% qua TestAS, có giải thưởng trong các kỳ thi được chấp nhận, hoặc có điểm chứng chỉ học thuật quốc tế đủ mức học bổng 100%.</t>
  </si>
  <si>
    <t xml:space="preserve">cse_066_academic</t>
  </si>
  <si>
    <t xml:space="preserve">cse_066_academic_en</t>
  </si>
  <si>
    <t xml:space="preserve">What academic achievements are needed for Full Merit besides English in the CSE program at VGU?</t>
  </si>
  <si>
    <t xml:space="preserve">You need to meet one of the listed academic routes: a 100% merit award through TestAS, a qualifying competition prize, or international academic test results qualifying for a 100% merit award.</t>
  </si>
  <si>
    <t xml:space="preserve">cse_066_academic_de</t>
  </si>
  <si>
    <t xml:space="preserve">Welche akademischen Leistungen sind neben Englisch für das Full-Merit-Stipendium erforderlich im Studiengang CSE an der VGU?</t>
  </si>
  <si>
    <t xml:space="preserve">Sie müssen einen der aufgeführten akademischen Wege erfüllen: eine 100-%-Auszeichnung über den TestAS, einen anerkannten Wettbewerbspreis oder internationale Testergebnisse, die für ein 100-%-Stipendium qualifizieren.</t>
  </si>
  <si>
    <t xml:space="preserve">cse_067_renewal_vi</t>
  </si>
  <si>
    <t xml:space="preserve">Muốn giữ Full Merit từ năm 2 thì sinh viên CSE cần GPA bao nhiêu?</t>
  </si>
  <si>
    <t xml:space="preserve">Từ năm 2, sinh viên CSE cần GPA tích lũy của năm trước từ 8,70 theo thang Việt Nam, hoặc tốt hơn 1,70 theo thang Đức để duy trì Full Merit.</t>
  </si>
  <si>
    <t xml:space="preserve">cse_067_renewal</t>
  </si>
  <si>
    <t xml:space="preserve">cse_067_renewal_en</t>
  </si>
  <si>
    <t xml:space="preserve">What GPA does a CSE student need to keep Full Merit from year two?</t>
  </si>
  <si>
    <t xml:space="preserve">From year two, CSE students need a previous-year cumulative GPA of at least 8.70 on the Vietnamese scale, or better than 1.70 on the German scale, to keep Full Merit.</t>
  </si>
  <si>
    <t xml:space="preserve">cse_067_renewal_de</t>
  </si>
  <si>
    <t xml:space="preserve">Welchen GPA benötigt ein CSE-Studierender ab dem zweiten Jahr zur Beibehaltung des Full-Merit-Stipendiums?</t>
  </si>
  <si>
    <t xml:space="preserve">Ab dem zweiten Studienjahr benötigen CSE-Studierende einen kumulierten GPA des Vorjahres von mindestens 8,70 auf der vietnamesischen Skala bzw. besser als 1,70 auf der deutschen Skala, um das Full-Merit-Stipendium zu behalten.</t>
  </si>
  <si>
    <t xml:space="preserve">cse_068_contact_vi</t>
  </si>
  <si>
    <t xml:space="preserve">Muốn hỏi về học bổng và thời hạn nộp hồ sơ học bổng tại VGU thì liên hệ bộ phận nào?</t>
  </si>
  <si>
    <t xml:space="preserve">Bạn có thể liên hệ Phòng Công tác Sinh viên VGU qua email studentaffairs@vgu.edu.vn hoặc Phòng Tuyển sinh qua study@vgu.edu.vn để cập nhật lịch mở đơn học bổng mới nhất.</t>
  </si>
  <si>
    <t xml:space="preserve">cse_068_contact</t>
  </si>
  <si>
    <t xml:space="preserve">cse_068_contact_en</t>
  </si>
  <si>
    <t xml:space="preserve">Who should I contact at VGU about scholarships and scholarship application deadlines?</t>
  </si>
  <si>
    <t xml:space="preserve">Contact VGU Student Affairs at studentaffairs@vgu.edu.vn or the Admissions Office at study@vgu.edu.vn to confirm current scholarship application windows.</t>
  </si>
  <si>
    <t xml:space="preserve">cse_068_contact_de</t>
  </si>
  <si>
    <t xml:space="preserve">An wen kann ich mich an der VGU bezüglich Stipendien und Bewerbungsfristen wenden?</t>
  </si>
  <si>
    <t xml:space="preserve">Wenden Sie sich per E-Mail an das Studierendensekretariat (studentaffairs@vgu.edu.vn) oder die Zulassungsstelle (study@vgu.edu.vn), um die aktuellen Bewerbungsfristen für Stipendien zu erfragen.</t>
  </si>
  <si>
    <t xml:space="preserve">cse_069_opportunity_vi</t>
  </si>
  <si>
    <t xml:space="preserve">exchange</t>
  </si>
  <si>
    <t xml:space="preserve">CSE có cơ hội học tại Đức không?</t>
  </si>
  <si>
    <t xml:space="preserve">Có. Trang giới thiệu CSE nêu cơ hội học tại Đức cho sinh viên năm cuối.</t>
  </si>
  <si>
    <t xml:space="preserve">cse_069_opportunity</t>
  </si>
  <si>
    <t xml:space="preserve">cse_069_opportunity_en</t>
  </si>
  <si>
    <t xml:space="preserve">Is there a study opportunity in Germany in the CSE program at VGU?</t>
  </si>
  <si>
    <t xml:space="preserve">Yes. The CSE page describes an opportunity for final-year students to study in Germany.</t>
  </si>
  <si>
    <t xml:space="preserve">cse_069_opportunity_de</t>
  </si>
  <si>
    <t xml:space="preserve">Gibt es eine Studienmöglichkeit in Deutschland im Studiengang CSE an der VGU?</t>
  </si>
  <si>
    <t xml:space="preserve">Ja. Die CSE-Seite beschreibt für Studierende im letzten Studienjahr die Möglichkeit, in Deutschland zu studieren.</t>
  </si>
  <si>
    <t xml:space="preserve">cse_070_funding_vi</t>
  </si>
  <si>
    <t xml:space="preserve">Đi trao đổi CSE ở Đức thì ai trả chi phí?</t>
  </si>
  <si>
    <t xml:space="preserve">Trang ngành nêu hai hình thức: đi bằng học bổng DAAD hoặc tự chi trả chi phí.</t>
  </si>
  <si>
    <t xml:space="preserve">cse_070_funding</t>
  </si>
  <si>
    <t xml:space="preserve">cse_070_funding_en</t>
  </si>
  <si>
    <t xml:space="preserve">How can a CSE study period in Germany be funded?</t>
  </si>
  <si>
    <t xml:space="preserve">The program page mentions two options: a DAAD scholarship or self-funding.</t>
  </si>
  <si>
    <t xml:space="preserve">cse_070_funding_de</t>
  </si>
  <si>
    <t xml:space="preserve">Wie kann ein CSE-Studienaufenthalt in Deutschland finanziert werden?</t>
  </si>
  <si>
    <t xml:space="preserve">Die Programmseite nennt zwei Optionen: ein DAAD-Stipendium oder Eigenfinanzierung (Selbstzahler).</t>
  </si>
  <si>
    <t xml:space="preserve">cse_071_thesis_abroad_vi</t>
  </si>
  <si>
    <t xml:space="preserve">Có thể làm khóa luận tại Đức không trong chương trình CSE tại VGU?</t>
  </si>
  <si>
    <t xml:space="preserve">Có cơ hội này. Trang CSE có đề cập việc sinh viên thực hiện khóa luận tại Đức.</t>
  </si>
  <si>
    <t xml:space="preserve">cse_071_thesis_abroad</t>
  </si>
  <si>
    <t xml:space="preserve">cse_071_thesis_abroad_en</t>
  </si>
  <si>
    <t xml:space="preserve">Can students do their thesis in Germany in the CSE program at VGU?</t>
  </si>
  <si>
    <t xml:space="preserve">Yes, this is a possibility. The CSE page mentions opportunities to complete a thesis in Germany.</t>
  </si>
  <si>
    <t xml:space="preserve">cse_071_thesis_abroad_de</t>
  </si>
  <si>
    <t xml:space="preserve">Können Studierende ihre Abschlussarbeit in Deutschland schreiben im Studiengang CSE an der VGU?</t>
  </si>
  <si>
    <t xml:space="preserve">Ja, diese Möglichkeit besteht. Die CSE-Seite erwähnt Gelegenheiten, die Bachelorarbeit in Deutschland anzufertigen.</t>
  </si>
  <si>
    <t xml:space="preserve">cse_072_guarantee_vi</t>
  </si>
  <si>
    <t xml:space="preserve">Sinh viên CSE nào cũng được đi Đức phải không?</t>
  </si>
  <si>
    <t xml:space="preserve">Không thể xem đây là suất đi Đức chắc chắn cho mọi sinh viên. Bạn cần xem thông báo tuyển chọn áp dụng cho khóa của mình.</t>
  </si>
  <si>
    <t xml:space="preserve">Cần hỏi lại VGU trước khi dùng thông tin này. Nguồn không ghi rõ năm áp dụng.</t>
  </si>
  <si>
    <t xml:space="preserve">cse_072_guarantee</t>
  </si>
  <si>
    <t xml:space="preserve">cse_072_guarantee_en</t>
  </si>
  <si>
    <t xml:space="preserve">Does every CSE student get to study in Germany?</t>
  </si>
  <si>
    <t xml:space="preserve">A place in Germany is not guaranteed for every student. Check the selection notice that applies to your cohort.</t>
  </si>
  <si>
    <t xml:space="preserve">Confirm the missing details with VGU. The source does not specify an applicable year.</t>
  </si>
  <si>
    <t xml:space="preserve">cse_072_guarantee_de</t>
  </si>
  <si>
    <t xml:space="preserve">Kann jeder CSE-Studierende garantiert in Deutschland studieren?</t>
  </si>
  <si>
    <t xml:space="preserve">Ein Studienplatz in Deutschland ist nicht für alle Studierenden garantiert. Beachten Sie die Auswahlausschreibung, die für Ihren Jahrgang gilt.</t>
  </si>
  <si>
    <t xml:space="preserve">Bitte klären Sie die fehlenden Details mit der VGU. Die Quelle gibt kein geltendes Jahr an.</t>
  </si>
  <si>
    <t xml:space="preserve">cse_073_gpa_vi</t>
  </si>
  <si>
    <t xml:space="preserve">Muốn đi trao đổi thì cần GPA và ngoại ngữ mức nào trong chương trình CSE tại VGU?</t>
  </si>
  <si>
    <t xml:space="preserve">Mức GPA và ngoại ngữ theo từng đợt chưa được xác nhận ở đây. Bạn nên xin thông báo tuyển chọn qua cse@vgu.edu.vn.</t>
  </si>
  <si>
    <t xml:space="preserve">https://vgu.edu.vn/en/study-programs/bachelor/cs</t>
  </si>
  <si>
    <t xml:space="preserve">cse_073_gpa</t>
  </si>
  <si>
    <t xml:space="preserve">cse_073_gpa_en</t>
  </si>
  <si>
    <t xml:space="preserve">What GPA and language scores do I need for exchange in the CSE program at VGU?</t>
  </si>
  <si>
    <t xml:space="preserve">The GPA and language thresholds for each round have not been confirmed here. Request the selection notice from cse@vgu.edu.vn.</t>
  </si>
  <si>
    <t xml:space="preserve">cse_073_gpa_de</t>
  </si>
  <si>
    <t xml:space="preserve">Welche GPA- und Sprachwerte benötige ich für einen Austausch im Studiengang CSE an der VGU?</t>
  </si>
  <si>
    <t xml:space="preserve">Die GPA- und Sprachschwellen für die einzelnen Runden sind hier nicht bestätigt. Fordern Sie die Auswahlausschreibung unter cse@vgu.edu.vn an.</t>
  </si>
  <si>
    <t xml:space="preserve">cse_074_budget_vi</t>
  </si>
  <si>
    <t xml:space="preserve">Tự túc đi Đức cần tổng bao nhiêu tiền trong chương trình CSE tại VGU?</t>
  </si>
  <si>
    <t xml:space="preserve">Chưa có một tổng chi phí được xác nhận trong bộ dữ liệu này. Để tính sát hơn, cần biết học kỳ, thành phố, phí trường đối tác, tiền nhà, bảo hiểm và đi lại.</t>
  </si>
  <si>
    <t xml:space="preserve">cse_074_budget</t>
  </si>
  <si>
    <t xml:space="preserve">cse_074_budget_en</t>
  </si>
  <si>
    <t xml:space="preserve">What is the total self-funded Germany budget in the CSE program at VGU?</t>
  </si>
  <si>
    <t xml:space="preserve">There is no confirmed total budget here. An estimate needs your semester, destination city, partner fees, housing, insurance and travel costs.</t>
  </si>
  <si>
    <t xml:space="preserve">cse_074_budget_de</t>
  </si>
  <si>
    <t xml:space="preserve">Wie hoch ist das Gesamtbudget für einen selbstfinanzierten Deutschlandaufenthalt im Studiengang CSE an der VGU?</t>
  </si>
  <si>
    <t xml:space="preserve">Hier liegt kein bestätigtes Gesamtbudget vor. Für eine Schätzung werden Semester, Zielstadt, Partnergebühren, Unterkunft, Versicherung und Reisekosten benötigt.</t>
  </si>
  <si>
    <t xml:space="preserve">cse_075_award_title_vi</t>
  </si>
  <si>
    <t xml:space="preserve">degree</t>
  </si>
  <si>
    <t xml:space="preserve">Tên bằng tốt nghiệp CSE là gì?</t>
  </si>
  <si>
    <t xml:space="preserve">Tên bằng được trang chương trình nêu là Bachelor of Science in Computer Science.</t>
  </si>
  <si>
    <t xml:space="preserve">cse_075_award_title</t>
  </si>
  <si>
    <t xml:space="preserve">cse_075_award_title_en</t>
  </si>
  <si>
    <t xml:space="preserve">What degree title is listed for CSE?</t>
  </si>
  <si>
    <t xml:space="preserve">The degree title listed on the program page is Bachelor of Science in Computer Science.</t>
  </si>
  <si>
    <t xml:space="preserve">cse_075_award_title_de</t>
  </si>
  <si>
    <t xml:space="preserve">Welcher akademische Grad ist für CSE aufgeführt?</t>
  </si>
  <si>
    <t xml:space="preserve">Der auf der Programmseite genannte Abschlussgrad lautet Bachelor of Science in Computer Science.</t>
  </si>
  <si>
    <t xml:space="preserve">cse_076_automatic_double_vi</t>
  </si>
  <si>
    <t xml:space="preserve">Học CSE là chắc chắn được nhận song bằng phải không?</t>
  </si>
  <si>
    <t xml:space="preserve">Chưa thể khẳng định mọi sinh viên đều tự động nhận song bằng. Bạn cần xem quy định đúng khóa, trong đó ghi rõ trường cấp bằng và điều kiện hoàn thành.</t>
  </si>
  <si>
    <t xml:space="preserve">cse_076_automatic_double</t>
  </si>
  <si>
    <t xml:space="preserve">cse_076_automatic_double_en</t>
  </si>
  <si>
    <t xml:space="preserve">Does studying CSE guarantee a double degree?</t>
  </si>
  <si>
    <t xml:space="preserve">A double degree should not be assumed to be automatic. Check your cohort's regulations for the awarding institutions and completion requirements.</t>
  </si>
  <si>
    <t xml:space="preserve">cse_076_automatic_double_de</t>
  </si>
  <si>
    <t xml:space="preserve">Garantiert das CSE-Studium automatisch einen Doppelabschluss (Double Degree)?</t>
  </si>
  <si>
    <t xml:space="preserve">Ein Doppelabschluss sollte nicht als automatisch vorausgesetzt werden. Prüfen Sie die Ordnung Ihres Jahrgangs hinsichtlich der verleihenden Hochschulen und Abschlussbedingungen.</t>
  </si>
  <si>
    <t xml:space="preserve">cse_077_exchange_degree_vi</t>
  </si>
  <si>
    <t xml:space="preserve">Chỉ cần đi trao đổi là được nhận bằng Đức phải không trong chương trình CSE tại VGU?</t>
  </si>
  <si>
    <t xml:space="preserve">Chưa thể kết luận chỉ từ việc đi trao đổi. Bạn cần kiểm tra thỏa thuận song bằng cùng yêu cầu về học phần và khóa luận của khóa mình.</t>
  </si>
  <si>
    <t xml:space="preserve">cse_077_exchange_degree</t>
  </si>
  <si>
    <t xml:space="preserve">cse_077_exchange_degree_en</t>
  </si>
  <si>
    <t xml:space="preserve">Does going on exchange automatically give me a German degree in the CSE program at VGU?</t>
  </si>
  <si>
    <t xml:space="preserve">Exchange alone does not establish eligibility for a German degree. Check your cohort's double-degree agreement and its coursework and thesis requirements.</t>
  </si>
  <si>
    <t xml:space="preserve">cse_077_exchange_degree_de</t>
  </si>
  <si>
    <t xml:space="preserve">Erhalte ich allein durch ein Austauschsemester automatisch einen deutschen Abschluss im Studiengang CSE an der VGU?</t>
  </si>
  <si>
    <t xml:space="preserve">Ein Austausch allein begründet noch keinen Anspruch auf einen deutschen Abschluss. Prüfen Sie das Doppelabschlussabkommen Ihres Jahrgangs sowie die Modul- und Thesis-Anforderungen.</t>
  </si>
  <si>
    <t xml:space="preserve">cse_078_master_acceptance_vi</t>
  </si>
  <si>
    <t xml:space="preserve">Bằng CSE có đảm bảo được nhận học master ở Đức không?</t>
  </si>
  <si>
    <t xml:space="preserve">Không có bảo đảm được nhận. Bạn cần đối chiếu bằng, bảng điểm và ngoại ngữ của mình với yêu cầu của từng chương trình master muốn nộp.</t>
  </si>
  <si>
    <t xml:space="preserve">cse_078_master_acceptance</t>
  </si>
  <si>
    <t xml:space="preserve">cse_078_master_acceptance_en</t>
  </si>
  <si>
    <t xml:space="preserve">Does CSE guarantee admission to a German master's program?</t>
  </si>
  <si>
    <t xml:space="preserve">Admission is not guaranteed. Compare your degree, transcript and language qualifications with the requirements of each master's program you want to apply to.</t>
  </si>
  <si>
    <t xml:space="preserve">cse_078_master_acceptance_de</t>
  </si>
  <si>
    <t xml:space="preserve">Garantiert CSE die Zulassung zu einem deutschen Masterstudiengang?</t>
  </si>
  <si>
    <t xml:space="preserve">Eine Zulassung ist nicht garantiert. Vergleichen Sie Ihren Abschluss, Ihr Transcript und Ihre Sprachnachweise mit den Anforderungen des jeweiligen Masterprogramms.</t>
  </si>
  <si>
    <t xml:space="preserve">cse_079_software_jobs_vi</t>
  </si>
  <si>
    <t xml:space="preserve">career</t>
  </si>
  <si>
    <t xml:space="preserve">Học CSE xong có thể theo nghề phát triển phần mềm không?</t>
  </si>
  <si>
    <t xml:space="preserve">Có. Phát triển phần mềm là một trong những hướng nghề nghiệp VGU giới thiệu cho ngành CSE.</t>
  </si>
  <si>
    <t xml:space="preserve">cse_079_software_jobs</t>
  </si>
  <si>
    <t xml:space="preserve">cse_079_software_jobs_en</t>
  </si>
  <si>
    <t xml:space="preserve">Can CSE lead to a career in software development?</t>
  </si>
  <si>
    <t xml:space="preserve">Yes. Software development is one of the career directions VGU lists for CSE.</t>
  </si>
  <si>
    <t xml:space="preserve">cse_079_software_jobs_de</t>
  </si>
  <si>
    <t xml:space="preserve">Kann CSE zu einer Karriere in der Softwareentwicklung führen?</t>
  </si>
  <si>
    <t xml:space="preserve">Ja. Softwareentwicklung ist eines der Berufsfelder, die die VGU für CSE aufführt.</t>
  </si>
  <si>
    <t xml:space="preserve">cse_080_web_jobs_vi</t>
  </si>
  <si>
    <t xml:space="preserve">CSE có hướng nghề phát triển web không?</t>
  </si>
  <si>
    <t xml:space="preserve">Có. Phát triển ứng dụng web nằm trong các hướng nghề nghiệp được giới thiệu.</t>
  </si>
  <si>
    <t xml:space="preserve">cse_080_web_jobs</t>
  </si>
  <si>
    <t xml:space="preserve">cse_080_web_jobs_en</t>
  </si>
  <si>
    <t xml:space="preserve">Is web development a career direction for CSE?</t>
  </si>
  <si>
    <t xml:space="preserve">Yes. Web application development is one of the listed career areas.</t>
  </si>
  <si>
    <t xml:space="preserve">cse_080_web_jobs_de</t>
  </si>
  <si>
    <t xml:space="preserve">Ist Webentwicklung ein Berufsfeld für CSE?</t>
  </si>
  <si>
    <t xml:space="preserve">Ja. Die Entwicklung von Webanwendungen gehört zu den aufgeführten Berufsfeldern.</t>
  </si>
  <si>
    <t xml:space="preserve">cse_081_data_jobs_vi</t>
  </si>
  <si>
    <t xml:space="preserve">Học CSE có thể theo những nghề nào về dữ liệu?</t>
  </si>
  <si>
    <t xml:space="preserve">Các hướng nghề dữ liệu được nêu là Data Engineering và Data Science.</t>
  </si>
  <si>
    <t xml:space="preserve">cse_081_data_jobs</t>
  </si>
  <si>
    <t xml:space="preserve">cse_081_data_jobs_en</t>
  </si>
  <si>
    <t xml:space="preserve">What data-related careers are listed for CSE?</t>
  </si>
  <si>
    <t xml:space="preserve">The listed data-related career areas are data engineering and data science.</t>
  </si>
  <si>
    <t xml:space="preserve">cse_081_data_jobs_de</t>
  </si>
  <si>
    <t xml:space="preserve">Welche datenbezogenen Berufe sind für CSE aufgeführt?</t>
  </si>
  <si>
    <t xml:space="preserve">Die genannten datenbezogenen Berufsfelder sind Data Engineering und Data Science.</t>
  </si>
  <si>
    <t xml:space="preserve">cse_082_network_jobs_vi</t>
  </si>
  <si>
    <t xml:space="preserve">CSE có hướng nghề mạng và IoT không?</t>
  </si>
  <si>
    <t xml:space="preserve">Có. Trang ngành có đề cập mạng máy tính và Internet of Things (IoT) trong phần nghề nghiệp.</t>
  </si>
  <si>
    <t xml:space="preserve">cse_082_network_jobs</t>
  </si>
  <si>
    <t xml:space="preserve">cse_082_network_jobs_en</t>
  </si>
  <si>
    <t xml:space="preserve">Are networking and IoT listed career areas in the CSE program at VGU?</t>
  </si>
  <si>
    <t xml:space="preserve">Yes. The program page lists computer networks and the Internet of Things (IoT) among its career areas.</t>
  </si>
  <si>
    <t xml:space="preserve">cse_082_network_jobs_de</t>
  </si>
  <si>
    <t xml:space="preserve">Sind Netzwerke und IoT als Berufsfelder aufgeführt im Studiengang CSE an der VGU?</t>
  </si>
  <si>
    <t xml:space="preserve">Ja. Die Programmseite nennt Rechnernetze und das Internet der Dinge (IoT) unter den Berufsfeldern.</t>
  </si>
  <si>
    <t xml:space="preserve">cse_083_career_support_vi</t>
  </si>
  <si>
    <t xml:space="preserve">VGU có hỗ trợ tìm việc và thực tập không?</t>
  </si>
  <si>
    <t xml:space="preserve">Có. Career Services hỗ trợ tư vấn nghề nghiệp, tìm cơ hội thực tập và việc làm, cũng như chuẩn bị CV và thư ứng tuyển.</t>
  </si>
  <si>
    <t xml:space="preserve">https://vgu.edu.vn/vi/career2</t>
  </si>
  <si>
    <t xml:space="preserve">cse_083_career_support</t>
  </si>
  <si>
    <t xml:space="preserve">cse_083_career_support_en</t>
  </si>
  <si>
    <t xml:space="preserve">Does VGU offer career support?</t>
  </si>
  <si>
    <t xml:space="preserve">Yes. Career Services offers career advice, internship and job opportunities, and support with CVs and cover letters.</t>
  </si>
  <si>
    <t xml:space="preserve">cse_083_career_support_de</t>
  </si>
  <si>
    <t xml:space="preserve">Bietet die VGU Unterstützung beim Berufseinstieg an?</t>
  </si>
  <si>
    <t xml:space="preserve">Ja. Career Services bietet Karriereberatung, Praktikums- und Stellenangebote sowie Unterstützung bei Lebensläufen und Anschreiben.</t>
  </si>
  <si>
    <t xml:space="preserve">cse_084_career_email_vi</t>
  </si>
  <si>
    <t xml:space="preserve">Email hỗ trợ nghề nghiệp VGU là gì?</t>
  </si>
  <si>
    <t xml:space="preserve">Bạn có thể liên hệ bộ phận hỗ trợ nghề nghiệp qua careerservices@vgu.edu.vn.</t>
  </si>
  <si>
    <t xml:space="preserve">cse_084_career_email</t>
  </si>
  <si>
    <t xml:space="preserve">cse_084_career_email_en</t>
  </si>
  <si>
    <t xml:space="preserve">What is the Career Services email in the CSE program at VGU?</t>
  </si>
  <si>
    <t xml:space="preserve">You can contact Career Services at careerservices@vgu.edu.vn.</t>
  </si>
  <si>
    <t xml:space="preserve">cse_084_career_email_de</t>
  </si>
  <si>
    <t xml:space="preserve">Wie lautet die E-Mail-Adresse von Career Services im Studiengang CSE an der VGU?</t>
  </si>
  <si>
    <t xml:space="preserve">Sie erreichen Career Services unter careerservices@vgu.edu.vn.</t>
  </si>
  <si>
    <t xml:space="preserve">cse_085_practice_components_vi</t>
  </si>
  <si>
    <t xml:space="preserve">internship</t>
  </si>
  <si>
    <t xml:space="preserve">Cuối chương trình CSE có dự án, thực tập hay khóa luận không?</t>
  </si>
  <si>
    <t xml:space="preserve">Các phần được liệt kê gồm Project, Practical Training Phase và Bachelor Thesis, tương ứng với dự án, thực tập và khóa luận.</t>
  </si>
  <si>
    <t xml:space="preserve">cse_085_practice_components</t>
  </si>
  <si>
    <t xml:space="preserve">cse_085_practice_components_en</t>
  </si>
  <si>
    <t xml:space="preserve">Does CSE include projects, an internship and a thesis?</t>
  </si>
  <si>
    <t xml:space="preserve">The listed practical components are Project, Practical Training Phase and Bachelor Thesis.</t>
  </si>
  <si>
    <t xml:space="preserve">cse_085_practice_components_de</t>
  </si>
  <si>
    <t xml:space="preserve">Umfasst CSE Projekte, ein Praktikum und eine Abschlussarbeit?</t>
  </si>
  <si>
    <t xml:space="preserve">Die aufgeführten Praxisbestandteile sind Project, Practical Training Phase und Bachelor Thesis.</t>
  </si>
  <si>
    <t xml:space="preserve">cse_086_duration_vi</t>
  </si>
  <si>
    <t xml:space="preserve">Thực tập CSE kéo dài bao lâu?</t>
  </si>
  <si>
    <t xml:space="preserve">Trang CSE mô tả thời gian thực tập là 14 tuần. Bạn vẫn nên đối chiếu với chương trình học áp dụng cho khóa mình.</t>
  </si>
  <si>
    <t xml:space="preserve">cse_086_duration</t>
  </si>
  <si>
    <t xml:space="preserve">cse_086_duration_en</t>
  </si>
  <si>
    <t xml:space="preserve">How long is the CSE practical training phase?</t>
  </si>
  <si>
    <t xml:space="preserve">The CSE page describes a 14-week practical training phase. Check your cohort's curriculum to confirm the applicable duration.</t>
  </si>
  <si>
    <t xml:space="preserve">cse_086_duration_de</t>
  </si>
  <si>
    <t xml:space="preserve">Wie lange dauert die Praxisphase (Practical Training Phase) in CSE?</t>
  </si>
  <si>
    <t xml:space="preserve">Die CSE-Seite beschreibt eine 14-wöchige Praxisphase. Prüfen Sie das Curriculum Ihres Jahrgangs, um die geltende Dauer zu bestätigen.</t>
  </si>
  <si>
    <t xml:space="preserve">cse_087_thesis_duration_vi</t>
  </si>
  <si>
    <t xml:space="preserve">Sinh viên CSE có bao lâu để làm khóa luận?</t>
  </si>
  <si>
    <t xml:space="preserve">Trang chương trình nêu thời gian khóa luận là 9 tuần. Bạn nên kiểm tra lại quy định của khóa mình trước khi lên kế hoạch.</t>
  </si>
  <si>
    <t xml:space="preserve">cse_087_thesis_duration</t>
  </si>
  <si>
    <t xml:space="preserve">cse_087_thesis_duration_en</t>
  </si>
  <si>
    <t xml:space="preserve">How long is the CSE thesis period?</t>
  </si>
  <si>
    <t xml:space="preserve">The program page gives a thesis duration of nine weeks. Check your cohort's regulations before planning around that figure.</t>
  </si>
  <si>
    <t xml:space="preserve">cse_087_thesis_duration_de</t>
  </si>
  <si>
    <t xml:space="preserve">Wie lange dauert der Bearbeitungszeitraum für die CSE-Bachelorarbeit?</t>
  </si>
  <si>
    <t xml:space="preserve">Die Programmseite nennt eine Bearbeitungsdauer von neun Wochen für die Bachelorarbeit. Prüfen Sie vor Ihrer Planung die Ordnung Ihres Jahrgangs.</t>
  </si>
  <si>
    <t xml:space="preserve">cse_088_paid_vi</t>
  </si>
  <si>
    <t xml:space="preserve">Thực tập CSE có chắc được trả lương không?</t>
  </si>
  <si>
    <t xml:space="preserve">Chưa có thông tin xác nhận rằng mọi kỳ thực tập đều được trả lương. Việc này phụ thuộc vào nơi thực tập và thỏa thuận của bạn với đơn vị đó.</t>
  </si>
  <si>
    <t xml:space="preserve">cse_088_paid</t>
  </si>
  <si>
    <t xml:space="preserve">cse_088_paid_en</t>
  </si>
  <si>
    <t xml:space="preserve">Are CSE internships guaranteed to be paid?</t>
  </si>
  <si>
    <t xml:space="preserve">There is no confirmed guarantee that every internship is paid. Payment depends on the host organization and your internship agreement.</t>
  </si>
  <si>
    <t xml:space="preserve">cse_088_paid_de</t>
  </si>
  <si>
    <t xml:space="preserve">Sind CSE-Praktika garantiert vergütet?</t>
  </si>
  <si>
    <t xml:space="preserve">Es gibt keine bestätigte Garantie, dass jedes Praktikum vergütet wird. Eine Vergütung hängt vom Praktikumsbetrieb und Ihrer Vereinbarung ab.</t>
  </si>
  <si>
    <t xml:space="preserve">cse_089_inventory_vi</t>
  </si>
  <si>
    <t xml:space="preserve">facilities</t>
  </si>
  <si>
    <t xml:space="preserve">CSE có bao nhiêu phòng lab và máy tính?</t>
  </si>
  <si>
    <t xml:space="preserve">Trang giới thiệu ghi 150 máy tính trong 5 phòng lab. Đây là số liệu trên website, chưa phải số lượng được kiểm kê lại ở thời điểm hiện tại.</t>
  </si>
  <si>
    <t xml:space="preserve">https://vgu.edu.vn/en/study-programs/bachelor/cs/laboratories</t>
  </si>
  <si>
    <t xml:space="preserve">cse_089_inventory</t>
  </si>
  <si>
    <t xml:space="preserve">cse_089_inventory_en</t>
  </si>
  <si>
    <t xml:space="preserve">How many lab rooms and computers does CSE have?</t>
  </si>
  <si>
    <t xml:space="preserve">The page lists 150 computers across five lab rooms. This is a published description, not a recently checked equipment inventory.</t>
  </si>
  <si>
    <t xml:space="preserve">cse_089_inventory_de</t>
  </si>
  <si>
    <t xml:space="preserve">Wie viele Laborräume und Computer hat CSE?</t>
  </si>
  <si>
    <t xml:space="preserve">Die Seite nennt 150 Computer in fünf Laborräumen. Dabei handelt es sich um eine veröffentlichte Beschreibung, nicht um eine aktuell überprüfte Bestandsliste.</t>
  </si>
  <si>
    <t xml:space="preserve">cse_090_general_lab_vi</t>
  </si>
  <si>
    <t xml:space="preserve">General lab hỗ trợ những môn gì trong chương trình CSE tại VGU?</t>
  </si>
  <si>
    <t xml:space="preserve">General lab phục vụ thực hành các nội dung như C/C++, hệ điều hành và cơ sở dữ liệu.</t>
  </si>
  <si>
    <t xml:space="preserve">cse_090_general_lab</t>
  </si>
  <si>
    <t xml:space="preserve">cse_090_general_lab_en</t>
  </si>
  <si>
    <t xml:space="preserve">What does the general lab support in the CSE program at VGU?</t>
  </si>
  <si>
    <t xml:space="preserve">The general lab supports practice in areas such as C/C++, operating systems and databases.</t>
  </si>
  <si>
    <t xml:space="preserve">cse_090_general_lab_de</t>
  </si>
  <si>
    <t xml:space="preserve">Welche Fächer unterstützt das allgemeine Labor (General Lab) im Studiengang CSE an der VGU?</t>
  </si>
  <si>
    <t xml:space="preserve">Das General Lab unterstützt praktische Übungen in Bereichen wie C/C++, Betriebssysteme und Datenbanken.</t>
  </si>
  <si>
    <t xml:space="preserve">cse_091_network_lab_vi</t>
  </si>
  <si>
    <t xml:space="preserve">Networking lab có thiết bị gì trong chương trình CSE tại VGU?</t>
  </si>
  <si>
    <t xml:space="preserve">Trang lab liệt kê máy tính, máy chủ, switch và access point, cùng công cụ mô phỏng mạng và bắt gói tin.</t>
  </si>
  <si>
    <t xml:space="preserve">cse_091_network_lab</t>
  </si>
  <si>
    <t xml:space="preserve">cse_091_network_lab_en</t>
  </si>
  <si>
    <t xml:space="preserve">What is listed in the networking lab in the CSE program at VGU?</t>
  </si>
  <si>
    <t xml:space="preserve">The lab page lists computers, servers, switches and access points, along with network simulation and packet-capture tools.</t>
  </si>
  <si>
    <t xml:space="preserve">cse_091_network_lab_de</t>
  </si>
  <si>
    <t xml:space="preserve">Welche Ausstattung ist für das Netzwerklabor (Networking Lab) aufgeführt im Studiengang CSE an der VGU?</t>
  </si>
  <si>
    <t xml:space="preserve">Die Laborseite nennt Computer, Server, Switches und Access Points sowie Werkzeuge zur Netzwerksimulation und Paketaufzeichnung.</t>
  </si>
  <si>
    <t xml:space="preserve">cse_092_security_lab_vi</t>
  </si>
  <si>
    <t xml:space="preserve">IT Security lab phục vụ việc gì trong chương trình CSE tại VGU?</t>
  </si>
  <si>
    <t xml:space="preserve">Phòng này phục vụ việc dạy, học và làm dự án liên quan đến IT Security.</t>
  </si>
  <si>
    <t xml:space="preserve">cse_092_security_lab</t>
  </si>
  <si>
    <t xml:space="preserve">cse_092_security_lab_en</t>
  </si>
  <si>
    <t xml:space="preserve">What is the IT Security lab for in the CSE program at VGU?</t>
  </si>
  <si>
    <t xml:space="preserve">The lab is used for IT Security teaching, learning and student projects.</t>
  </si>
  <si>
    <t xml:space="preserve">cse_092_security_lab_de</t>
  </si>
  <si>
    <t xml:space="preserve">Wozu dient das IT-Sicherheitslabor (IT Security Lab) im Studiengang CSE an der VGU?</t>
  </si>
  <si>
    <t xml:space="preserve">Das Labor wird für Lehre, Lernen und Studierendenprojekte im Bereich IT-Sicherheit genutzt.</t>
  </si>
  <si>
    <t xml:space="preserve">cse_093_open_lab_vi</t>
  </si>
  <si>
    <t xml:space="preserve">Open computer lab dùng để làm gì trong chương trình CSE tại VGU?</t>
  </si>
  <si>
    <t xml:space="preserve">Sinh viên có thể dùng open computer lab để làm việc nhóm và chuẩn bị dự án.</t>
  </si>
  <si>
    <t xml:space="preserve">cse_093_open_lab</t>
  </si>
  <si>
    <t xml:space="preserve">cse_093_open_lab_en</t>
  </si>
  <si>
    <t xml:space="preserve">What is the open computer lab for in the CSE program at VGU?</t>
  </si>
  <si>
    <t xml:space="preserve">Students can use the open computer lab for group work and project planning.</t>
  </si>
  <si>
    <t xml:space="preserve">cse_093_open_lab_de</t>
  </si>
  <si>
    <t xml:space="preserve">Wozu dient das offene Computerlabor (Open Computer Lab) im Studiengang CSE an der VGU?</t>
  </si>
  <si>
    <t xml:space="preserve">Studierende können das Open Computer Lab für Gruppenarbeiten und Projektplanung nutzen.</t>
  </si>
  <si>
    <t xml:space="preserve">cse_094_software_vi</t>
  </si>
  <si>
    <t xml:space="preserve">Phòng lab có những phần mềm nào trong chương trình CSE tại VGU?</t>
  </si>
  <si>
    <t xml:space="preserve">Trang lab có liệt kê Matlab, Visual Studio, các công cụ C/C++ và VirtualBox.</t>
  </si>
  <si>
    <t xml:space="preserve">cse_094_software</t>
  </si>
  <si>
    <t xml:space="preserve">cse_094_software_en</t>
  </si>
  <si>
    <t xml:space="preserve">What software is listed for the labs in the CSE program at VGU?</t>
  </si>
  <si>
    <t xml:space="preserve">The lab page lists Matlab, Visual Studio, C/C++ tools and VirtualBox.</t>
  </si>
  <si>
    <t xml:space="preserve">cse_094_software_de</t>
  </si>
  <si>
    <t xml:space="preserve">Welche Software ist für die Labore aufgeführt im Studiengang CSE an der VGU?</t>
  </si>
  <si>
    <t xml:space="preserve">Die Laborseite nennt Matlab, Visual Studio, C/C++-Werkzeuge und VirtualBox.</t>
  </si>
  <si>
    <t xml:space="preserve">cse_095_academic_contact_vi</t>
  </si>
  <si>
    <t xml:space="preserve">Muốn hỏi về chương trình học CSE thì gửi email cho ai?</t>
  </si>
  <si>
    <t xml:space="preserve">Bạn có thể gửi câu hỏi về chương trình CSE đến cse@vgu.edu.vn.</t>
  </si>
  <si>
    <t xml:space="preserve">cse_095_academic_contact</t>
  </si>
  <si>
    <t xml:space="preserve">cse_095_academic_contact_en</t>
  </si>
  <si>
    <t xml:space="preserve">Who should I email about the CSE curriculum?</t>
  </si>
  <si>
    <t xml:space="preserve">For questions about the CSE program, email cse@vgu.edu.vn.</t>
  </si>
  <si>
    <t xml:space="preserve">cse_095_academic_contact_de</t>
  </si>
  <si>
    <t xml:space="preserve">An wen sollte ich mich per E-Mail bei Fragen zum CSE-Studienplan wenden?</t>
  </si>
  <si>
    <t xml:space="preserve">Bei Fragen zum CSE-Studienprogramm schreiben Sie bitte an cse@vgu.edu.vn.</t>
  </si>
  <si>
    <t xml:space="preserve">cse_096_admission_contact_vi</t>
  </si>
  <si>
    <t xml:space="preserve">Hỏi tuyển sinh qua email nào trong chương trình CSE tại VGU?</t>
  </si>
  <si>
    <t xml:space="preserve">Bạn có thể liên hệ phòng tuyển sinh qua study@vgu.edu.vn.</t>
  </si>
  <si>
    <t xml:space="preserve">cse_096_admission_contact</t>
  </si>
  <si>
    <t xml:space="preserve">cse_096_admission_contact_en</t>
  </si>
  <si>
    <t xml:space="preserve">Which email handles admissions enquiries in the CSE program at VGU?</t>
  </si>
  <si>
    <t xml:space="preserve">You can contact admissions at study@vgu.edu.vn.</t>
  </si>
  <si>
    <t xml:space="preserve">cse_096_admission_contact_de</t>
  </si>
  <si>
    <t xml:space="preserve">Welche E-Mail-Adresse ist für Zulassungsanfragen zuständig im Studiengang CSE an der VGU?</t>
  </si>
  <si>
    <t xml:space="preserve">Sie erreichen die Zulassungsstelle unter study@vgu.edu.vn.</t>
  </si>
  <si>
    <t xml:space="preserve">cse_097_ielts_registration_vi</t>
  </si>
  <si>
    <t xml:space="preserve">Hỏi đăng ký thi IELTS tại VGU ở đâu?</t>
  </si>
  <si>
    <t xml:space="preserve">Bạn có thể hỏi qua fy@vgu.edu.vn để được hướng dẫn đăng ký và xác nhận lịch thi, chỗ còn trống.</t>
  </si>
  <si>
    <t xml:space="preserve">https://vgu.edu.vn/en/study-programs/bachelor/fy/other-services</t>
  </si>
  <si>
    <t xml:space="preserve">cse_097_ielts_registration</t>
  </si>
  <si>
    <t xml:space="preserve">cse_097_ielts_registration_en</t>
  </si>
  <si>
    <t xml:space="preserve">Who handles IELTS registration enquiries at VGU?</t>
  </si>
  <si>
    <t xml:space="preserve">Email fy@vgu.edu.vn for registration guidance and to confirm test dates and available places.</t>
  </si>
  <si>
    <t xml:space="preserve">cse_097_ielts_registration_de</t>
  </si>
  <si>
    <t xml:space="preserve">Wer ist an der VGU für Anfragen zur IELTS-Anmeldung zuständig?</t>
  </si>
  <si>
    <t xml:space="preserve">Schreiben Sie an fy@vgu.edu.vn für Hinweise zur Anmeldung sowie zur Bestätigung von Prüfungsterminen und freien Plätzen.</t>
  </si>
  <si>
    <t xml:space="preserve">cse_098_dorm_cost_vi</t>
  </si>
  <si>
    <t xml:space="preserve">student_life</t>
  </si>
  <si>
    <t xml:space="preserve">Chi phí ở ký túc xá VGU hiện nay là bao nhiêu một tháng?</t>
  </si>
  <si>
    <t xml:space="preserve">Theo thông tin ký túc xá VGU tại khuôn viên Bến Cát, Bình Dương, mức phí lưu trú tiêu chuẩn là 1.200.000 VND/tháng đối với phòng cơ bản 2 người có trang bị máy lạnh, bình nóng lạnh, bàn học và Wi-Fi (ký túc xá có loại phòng 2 người và 4 người). Vui lòng liên hệ VGU để kiểm tra tình trạng phòng trống và biểu phí chi tiết theo thời gian lưu trú.</t>
  </si>
  <si>
    <t xml:space="preserve">https://vgu.edu.vn/vi/doi-song-sinh-vien/ky-tuc-xa</t>
  </si>
  <si>
    <t xml:space="preserve">cse_098_dorm_cost</t>
  </si>
  <si>
    <t xml:space="preserve">cse_098_dorm_cost_en</t>
  </si>
  <si>
    <t xml:space="preserve">How much does it cost per month to stay in VGU's on-campus dormitory?</t>
  </si>
  <si>
    <t xml:space="preserve">According to VGU's dormitory schedule at the Ben Cat campus, the standard accommodation fee is 1,200,000 VND/month for an air-conditioned 2-person room equipped with a water heater, study desks, and high-speed Wi-Fi (2-person and 4-person room types are available). Contact VGU Housing to confirm room availability and rates for other room options.</t>
  </si>
  <si>
    <t xml:space="preserve">https://vgu.edu.vn/en/student-life/dormitory</t>
  </si>
  <si>
    <t xml:space="preserve">cse_098_dorm_cost_de</t>
  </si>
  <si>
    <t xml:space="preserve">Wie viel kostet ein Platz im VGU-Wohnheim auf dem Campus pro Monat?</t>
  </si>
  <si>
    <t xml:space="preserve">Laut den Wohnheimangaben für den VGU-Campus in Ben Cat beträgt die reguläre Unterbringungsgebühr 1.200.000 VND/Monat für ein klimatisiertes Standard-2-Bett-Zimmer inklusive Warmwasserbereiter, Schreibtischen und WLAN (verfügbar sind 2-Bett- und 4-Bett-Zimmer). Kontaktieren Sie die VGU-Wohnheimverwaltung bezüglich freier Plätze.</t>
  </si>
  <si>
    <t xml:space="preserve">https://vgu.edu.vn/de/campusleben/wohnheim</t>
  </si>
  <si>
    <t xml:space="preserve">cse_099_missed_classes_vi</t>
  </si>
  <si>
    <t xml:space="preserve">Nếu nhập học trễ ngành CSE tại VGU thì sinh viên xin tài liệu những buổi học đã qua ở đâu?</t>
  </si>
  <si>
    <t xml:space="preserve">Sinh viên nhập học trễ nên liên hệ trực tiếp với giảng viên bộ môn và điều phối viên chương trình CSE (cse@vgu.edu.vn) cũng như kiểm tra hệ thống quản lý học tập Moodle qua VGU Portal để nhận tài liệu bài giảng, bài tập bổ sung và lịch học của lớp.</t>
  </si>
  <si>
    <t xml:space="preserve">cse_099_missed_classes</t>
  </si>
  <si>
    <t xml:space="preserve">cse_099_missed_classes_en</t>
  </si>
  <si>
    <t xml:space="preserve">Where can late-enrolling CSE students at VGU obtain missed class materials and schedules?</t>
  </si>
  <si>
    <t xml:space="preserve">Students who enroll late should contact their module lecturers and the CSE program coordinator (cse@vgu.edu.vn) and check the Moodle learning platform via VGU Portal to obtain lecture slides, catch-up assignments, and class schedules.</t>
  </si>
  <si>
    <t xml:space="preserve">cse_099_missed_classes_de</t>
  </si>
  <si>
    <t xml:space="preserve">Wo erhalten verspätet eingeschriebene CSE-Studierende an der VGU verpasste Kursunterlagen und ihren Stundenplan?</t>
  </si>
  <si>
    <t xml:space="preserve">Studierende, die sich verspätet einschreiben, sollten sich direkt an ihre Moduldozenten und die CSE-Studiengangskoordination (cse@vgu.edu.vn) wenden sowie die Lernplattform Moodle über das VGU Portal aufrufen, um Vorlesungsunterlagen, Nachholaufgaben und den Stundenplan zu erhalten.</t>
  </si>
  <si>
    <t xml:space="preserve">cse_100_salary_vi</t>
  </si>
  <si>
    <t xml:space="preserve">Trường Đại học Việt-Đức (VGU) có công bố mức lương khởi điểm cố định cho sinh viên tốt nghiệp CSE không?</t>
  </si>
  <si>
    <t xml:space="preserve">VGU không công bố một mức lương khởi điểm cố định chung cho mọi khóa tốt nghiệp CSE, vì thu nhập thực tế phụ thuộc vào vị trí chuyên môn (Phát triển phần mềm, Khoa học dữ liệu, AI, An toàn thông tin, IoT) và địa điểm làm việc tại Việt Nam, Đức hay quốc tế. Sinh viên có thể liên hệ Career Services (careerservices@vgu.edu.vn) để tham khảo thông tin tuyển dụng của các doanh nghiệp đối tác.</t>
  </si>
  <si>
    <t xml:space="preserve">cse_100_salary</t>
  </si>
  <si>
    <t xml:space="preserve">cse_100_salary_en</t>
  </si>
  <si>
    <t xml:space="preserve">Does VGU publish a fixed starting salary figure for CSE graduates?</t>
  </si>
  <si>
    <t xml:space="preserve">VGU does not publish a single fixed starting-salary figure across all CSE cohorts, as compensation varies by role (Software Development, Data Science, AI, IT Security, IoT) and employment market (Vietnam, Germany, or international). Students can contact Career Services (careerservices@vgu.edu.vn) for current employer placement benchmarks.</t>
  </si>
  <si>
    <t xml:space="preserve">cse_100_salary_de</t>
  </si>
  <si>
    <t xml:space="preserve">Veröffentlicht die VGU ein festes Einstiegsgehalt für CSE-Absolventen?</t>
  </si>
  <si>
    <t xml:space="preserve">Die VGU veröffentlicht keinen pauschalen Einstiegsgehaltswert für alle CSE-Jahrgänge, da die Vergütung je nach Berufsfeld (Softwareentwicklung, Data Science, KI, IT-Sicherheit, IoT) und Arbeitsmarkt (Vietnam, Deutschland oder international) variiert. Aktuelle Informationen zu Unternehmenspartnern bietet Career Services unter careerservices@vgu.edu.vn.</t>
  </si>
  <si>
    <t xml:space="preserve">cse_101_cs_reading_guide_vi</t>
  </si>
  <si>
    <t xml:space="preserve">learning_resources</t>
  </si>
  <si>
    <t xml:space="preserve">Muốn tìm tài liệu học CSE của thư viện thì vào đâu?</t>
  </si>
  <si>
    <t xml:space="preserve">Có. Thư viện VGU có trang Computer Science subject guide tổng hợp tài liệu liên quan đến ngành.</t>
  </si>
  <si>
    <t xml:space="preserve">https://libguide.vgu.edu.vn/subjects/guide.php?subject=cs</t>
  </si>
  <si>
    <t xml:space="preserve">Nguồn không ghi rõ năm áp dụng. Tài liệu tham khảo; chưa xác nhận là giáo trình bắt buộc hoặc đang có sẵn.</t>
  </si>
  <si>
    <t xml:space="preserve">cse_101_cs_reading_guide</t>
  </si>
  <si>
    <t xml:space="preserve">cse_101_cs_reading_guide_en</t>
  </si>
  <si>
    <t xml:space="preserve">Where can I find the library's CSE learning resources?</t>
  </si>
  <si>
    <t xml:space="preserve">Yes. VGU Library has a Computer Science subject guide with relevant learning resources.</t>
  </si>
  <si>
    <t xml:space="preserve">The source does not specify an applicable year. A listed reference, not a confirmed required textbook or available copy.</t>
  </si>
  <si>
    <t xml:space="preserve">cse_101_cs_reading_guide_de</t>
  </si>
  <si>
    <t xml:space="preserve">Wo finde ich die CSE-Lernressourcen der Bibliothek?</t>
  </si>
  <si>
    <t xml:space="preserve">Die VGU-Bibliothek bietet einen Fachleitfaden Informatik (Computer Science Subject Guide) mit relevanten Lernressourcen an.</t>
  </si>
  <si>
    <t xml:space="preserve">Die Quelle gibt kein geltendes Jahr an. Aufgeführte Referenz, kein bestätigtes Pflichtlehrbuch oder verfügbares Exemplar.</t>
  </si>
  <si>
    <t xml:space="preserve">cse_102_c_book_vi</t>
  </si>
  <si>
    <t xml:space="preserve">Thư viện giới thiệu sách nào để học C trong chương trình CSE tại VGU?</t>
  </si>
  <si>
    <t xml:space="preserve">Trang hướng dẫn có giới thiệu Programming in C của Stephen G. Kochan.</t>
  </si>
  <si>
    <t xml:space="preserve">cse_102_c_book</t>
  </si>
  <si>
    <t xml:space="preserve">cse_102_c_book_en</t>
  </si>
  <si>
    <t xml:space="preserve">Which C book does the library guide list in the CSE program at VGU?</t>
  </si>
  <si>
    <t xml:space="preserve">The guide lists Programming in C by Stephen G. Kochan.</t>
  </si>
  <si>
    <t xml:space="preserve">cse_102_c_book_de</t>
  </si>
  <si>
    <t xml:space="preserve">Welches Buch zu C führt der Bibliotheksleitfaden auf im Studiengang CSE an der VGU?</t>
  </si>
  <si>
    <t xml:space="preserve">Der Leitfaden nennt Programming in C von Stephen G. Kochan.</t>
  </si>
  <si>
    <t xml:space="preserve">cse_103_discrete_book_vi</t>
  </si>
  <si>
    <t xml:space="preserve">Có sách toán rời rạc nào trong danh sách tài liệu CSE không?</t>
  </si>
  <si>
    <t xml:space="preserve">Sách được liệt kê là Discrete Mathematics and Its Applications của Kenneth H. Rosen.</t>
  </si>
  <si>
    <t xml:space="preserve">cse_103_discrete_book</t>
  </si>
  <si>
    <t xml:space="preserve">cse_103_discrete_book_en</t>
  </si>
  <si>
    <t xml:space="preserve">Which discrete-mathematics book is in the CSE reading guide?</t>
  </si>
  <si>
    <t xml:space="preserve">The guide lists Discrete Mathematics and Its Applications by Kenneth H. Rosen.</t>
  </si>
  <si>
    <t xml:space="preserve">cse_103_discrete_book_de</t>
  </si>
  <si>
    <t xml:space="preserve">Welches Buch zur Diskreten Mathematik steht im CSE-Leseleitfaden?</t>
  </si>
  <si>
    <t xml:space="preserve">Der Leitfaden führt Discrete Mathematics and Its Applications von Kenneth H. Rosen auf.</t>
  </si>
  <si>
    <t xml:space="preserve">cse_104_algorithm_book_vi</t>
  </si>
  <si>
    <t xml:space="preserve">Có sách tham khảo giải thuật bằng Java không trong chương trình CSE tại VGU?</t>
  </si>
  <si>
    <t xml:space="preserve">Có. Trang hướng dẫn liệt kê Data Structures and Algorithms in Java của Goodrich và Tamassia.</t>
  </si>
  <si>
    <t xml:space="preserve">cse_104_algorithm_book</t>
  </si>
  <si>
    <t xml:space="preserve">cse_104_algorithm_book_en</t>
  </si>
  <si>
    <t xml:space="preserve">Is a Java algorithms reference listed in the CSE program at VGU?</t>
  </si>
  <si>
    <t xml:space="preserve">Yes. The guide lists Data Structures and Algorithms in Java by Goodrich and Tamassia.</t>
  </si>
  <si>
    <t xml:space="preserve">cse_104_algorithm_book_de</t>
  </si>
  <si>
    <t xml:space="preserve">Ist ein Nachschlagewerk zu Algorithmen in Java aufgeführt im Studiengang CSE an der VGU?</t>
  </si>
  <si>
    <t xml:space="preserve">Ja. Der Leitfaden nennt Data Structures and Algorithms in Java von Goodrich und Tamassia.</t>
  </si>
  <si>
    <t xml:space="preserve">cse_105_software_book_vi</t>
  </si>
  <si>
    <t xml:space="preserve">Trang tài liệu CSE giới thiệu sách nào về kỹ thuật phần mềm?</t>
  </si>
  <si>
    <t xml:space="preserve">Trang tài liệu có giới thiệu Software Engineering của Ian Sommerville.</t>
  </si>
  <si>
    <t xml:space="preserve">cse_105_software_book</t>
  </si>
  <si>
    <t xml:space="preserve">cse_105_software_book_en</t>
  </si>
  <si>
    <t xml:space="preserve">Which software-engineering book does the CSE guide list?</t>
  </si>
  <si>
    <t xml:space="preserve">The guide lists Software Engineering by Ian Sommerville.</t>
  </si>
  <si>
    <t xml:space="preserve">cse_105_software_book_de</t>
  </si>
  <si>
    <t xml:space="preserve">Welches Buch zur Softwaretechnik führt der CSE-Leitfaden auf?</t>
  </si>
  <si>
    <t xml:space="preserve">Der Leitfaden nennt Software Engineering von Ian Sommerville.</t>
  </si>
  <si>
    <t xml:space="preserve">cse_106_python_resources_vi</t>
  </si>
  <si>
    <t xml:space="preserve">Thư viện có gợi ý nguồn tự học Python không trong chương trình CSE tại VGU?</t>
  </si>
  <si>
    <t xml:space="preserve">Trong phần Python, trang hướng dẫn có các liên kết như Python.org, LearnPython.org và freeCodeCamp.</t>
  </si>
  <si>
    <t xml:space="preserve">cse_106_python_resources</t>
  </si>
  <si>
    <t xml:space="preserve">cse_106_python_resources_en</t>
  </si>
  <si>
    <t xml:space="preserve">Does the library guide suggest Python-learning resources in the CSE program at VGU?</t>
  </si>
  <si>
    <t xml:space="preserve">The Python section links to resources including Python.org, LearnPython.org and freeCodeCamp.</t>
  </si>
  <si>
    <t xml:space="preserve">cse_106_python_resources_de</t>
  </si>
  <si>
    <t xml:space="preserve">Empfiehlt der Bibliotheksleitfaden Ressourcen zum Python-Selbststudium im Studiengang CSE an der VGU?</t>
  </si>
  <si>
    <t xml:space="preserve">Der Abschnitt zu Python verlinkt unter anderem auf Python.org, LearnPython.org und freeCodeCamp.</t>
  </si>
  <si>
    <t xml:space="preserve">cse_107_library_support_vi</t>
  </si>
  <si>
    <t xml:space="preserve">library_services</t>
  </si>
  <si>
    <t xml:space="preserve">Cần hỗ trợ từ thư viện thì liên hệ thế nào tại VGU?</t>
  </si>
  <si>
    <t xml:space="preserve">Bạn có thể gửi câu hỏi hoặc nhờ hỗ trợ qua library@vgu.edu.vn.</t>
  </si>
  <si>
    <t xml:space="preserve">https://library.vgu.edu.vn/contact/</t>
  </si>
  <si>
    <t xml:space="preserve">Đối chiếu qua bản nội dung được công cụ tìm kiếm lưu lại. Nguồn không ghi rõ năm áp dụng. Dịch vụ/hoạt động chung của VGU, không riêng CSE.</t>
  </si>
  <si>
    <t xml:space="preserve">cse_107_library_support</t>
  </si>
  <si>
    <t xml:space="preserve">cse_107_library_support_en</t>
  </si>
  <si>
    <t xml:space="preserve">How do I contact the library for help at VGU?</t>
  </si>
  <si>
    <t xml:space="preserve">You can ask for library help at library@vgu.edu.vn.</t>
  </si>
  <si>
    <t xml:space="preserve">Checked against the search-indexed version of the source page. The source does not specify an applicable year. A university-wide service/activity, not exclusive to CSE.</t>
  </si>
  <si>
    <t xml:space="preserve">cse_107_library_support_de</t>
  </si>
  <si>
    <t xml:space="preserve">Wie kontaktiere ich die Bibliothek, wenn ich Hilfe benötige an der VGU?</t>
  </si>
  <si>
    <t xml:space="preserve">Sie können sich bei Fragen an library@vgu.edu.vn wenden.</t>
  </si>
  <si>
    <t xml:space="preserve">Abgeglichen mit der suchindexierten Version der Quellseite. Die Quelle gibt kein geltendes Jahr an. Ein universitätsweiter Service bzw. eine universitätsweite Aktivität, nicht exklusiv für CSE.</t>
  </si>
  <si>
    <t xml:space="preserve">cse_108_room_booking_vi</t>
  </si>
  <si>
    <t xml:space="preserve">Thư viện VGU có dịch vụ đặt phòng học không?</t>
  </si>
  <si>
    <t xml:space="preserve">Có. Bạn có thể tìm mục Library room booking trên website thư viện và kiểm tra phòng còn trống khi đặt.</t>
  </si>
  <si>
    <t xml:space="preserve">https://library.vgu.edu.vn/</t>
  </si>
  <si>
    <t xml:space="preserve">cse_108_room_booking</t>
  </si>
  <si>
    <t xml:space="preserve">cse_108_room_booking_en</t>
  </si>
  <si>
    <t xml:space="preserve">Does VGU Library offer study-room booking?</t>
  </si>
  <si>
    <t xml:space="preserve">Yes. Look for Library room booking on the library website and check room availability before reserving.</t>
  </si>
  <si>
    <t xml:space="preserve">cse_108_room_booking_de</t>
  </si>
  <si>
    <t xml:space="preserve">Bietet die VGU-Bibliothek eine Gruppenraum-Buchung an?</t>
  </si>
  <si>
    <t xml:space="preserve">Ja. Suchen Sie auf der Bibliothekswebsite nach Library room booking und prüfen Sie vor der Reservierung die Raumverfügbarkeit.</t>
  </si>
  <si>
    <t xml:space="preserve">cse_109_renew_guide_vi</t>
  </si>
  <si>
    <t xml:space="preserve">Muốn gia hạn hoặc giữ chỗ sách thì xem hướng dẫn ở đâu tại VGU?</t>
  </si>
  <si>
    <t xml:space="preserve">Bạn vào iTutorials của thư viện, rồi tìm mục Use E-Services on Discovery để xem hướng dẫn gia hạn và giữ chỗ sách.</t>
  </si>
  <si>
    <t xml:space="preserve">https://library.vgu.edu.vn/itutorials/</t>
  </si>
  <si>
    <t xml:space="preserve">cse_109_renew_guide</t>
  </si>
  <si>
    <t xml:space="preserve">cse_109_renew_guide_en</t>
  </si>
  <si>
    <t xml:space="preserve">Where can I learn how to renew a book or place a hold at VGU?</t>
  </si>
  <si>
    <t xml:space="preserve">Go to the library's iTutorials page and find Use E-Services on Discovery for renewal and hold instructions.</t>
  </si>
  <si>
    <t xml:space="preserve">cse_109_renew_guide_de</t>
  </si>
  <si>
    <t xml:space="preserve">Wo erfahre ich, wie man ein Buch verlängert oder vormerkt an der VGU?</t>
  </si>
  <si>
    <t xml:space="preserve">Rufen Sie die Seite iTutorials der Bibliothek auf und suchen Sie unter Use E-Services on Discovery nach der Anleitung zur Verlängerung und Vormerkung.</t>
  </si>
  <si>
    <t xml:space="preserve">cse_110_interlibrary_request_vi</t>
  </si>
  <si>
    <t xml:space="preserve">Sách mình cần không có ở VGU thì nhờ mượn thư viện khác được không?</t>
  </si>
  <si>
    <t xml:space="preserve">Có thể. Bạn gửi yêu cầu qua dịch vụ InterLibrary Loan; việc mượn được tài liệu hay không còn tùy thư viện đối tác.</t>
  </si>
  <si>
    <t xml:space="preserve">https://library.vgu.edu.vn/inter-library-services-loan/</t>
  </si>
  <si>
    <t xml:space="preserve">cse_110_interlibrary_request</t>
  </si>
  <si>
    <t xml:space="preserve">cse_110_interlibrary_request_en</t>
  </si>
  <si>
    <t xml:space="preserve">Can I request a book from another library if VGU does not have it?</t>
  </si>
  <si>
    <t xml:space="preserve">You can request it through InterLibrary Loan. Whether the material can be supplied depends on the partner library.</t>
  </si>
  <si>
    <t xml:space="preserve">cse_110_interlibrary_request_de</t>
  </si>
  <si>
    <t xml:space="preserve">Kann ich ein Buch aus einer anderen Bibliothek anfordern, wenn die VGU es nicht besitzt?</t>
  </si>
  <si>
    <t xml:space="preserve">Sie können es über die Fernleihe (InterLibrary Loan) anfragen. Ob das Medium bereitgestellt werden kann, hängt von der Partnerbibliothek ab.</t>
  </si>
  <si>
    <t xml:space="preserve">cse_111_interlibrary_duration_vi</t>
  </si>
  <si>
    <t xml:space="preserve">Mượn liên thư viện được giữ sách bao lâu tại VGU?</t>
  </si>
  <si>
    <t xml:space="preserve">Theo trang dịch vụ, thời gian mượn là 5–10 ngày và mỗi giao dịch được mượn một sách. Nếu muốn gia hạn, bạn cần được thư viện đối tác đồng ý.</t>
  </si>
  <si>
    <t xml:space="preserve">cse_111_interlibrary_duration</t>
  </si>
  <si>
    <t xml:space="preserve">cse_111_interlibrary_duration_en</t>
  </si>
  <si>
    <t xml:space="preserve">How long is an interlibrary book loan at VGU?</t>
  </si>
  <si>
    <t xml:space="preserve">The service page gives a loan period of 5–10 days, with one book per transaction. Renewals need approval from the partner library.</t>
  </si>
  <si>
    <t xml:space="preserve">cse_111_interlibrary_duration_de</t>
  </si>
  <si>
    <t xml:space="preserve">Wie lange gilt eine Ausleihe über die Fernleihe an der VGU?</t>
  </si>
  <si>
    <t xml:space="preserve">Die Serviceseite nennt eine Leihfrist von 5–10 Tagen bei einem Buch pro Vorgang. Verlängerungen erfordern die Zustimmung der Partnerbibliothek.</t>
  </si>
  <si>
    <t xml:space="preserve">cse_112_research_support_vi</t>
  </si>
  <si>
    <t xml:space="preserve">Thư viện có hỗ trợ kỹ năng tìm tài liệu và trích dẫn không tại VGU?</t>
  </si>
  <si>
    <t xml:space="preserve">Có. Website thư viện có các mục hỗ trợ tìm thông tin, nghiên cứu và trích dẫn tài liệu.</t>
  </si>
  <si>
    <t xml:space="preserve">cse_112_research_support</t>
  </si>
  <si>
    <t xml:space="preserve">cse_112_research_support_en</t>
  </si>
  <si>
    <t xml:space="preserve">Does the library support research and citation skills at VGU?</t>
  </si>
  <si>
    <t xml:space="preserve">Yes. The library website lists support for information skills, research and citation or referencing.</t>
  </si>
  <si>
    <t xml:space="preserve">cse_112_research_support_de</t>
  </si>
  <si>
    <t xml:space="preserve">Unterstützt die Bibliothek bei Recherche- und Zitierkompetenzen an der VGU?</t>
  </si>
  <si>
    <t xml:space="preserve">Ja. Die Bibliothekswebsite führt Unterstützungsangebote zu Informationskompetenz, Recherche sowie Zitieren und Quellenangaben auf.</t>
  </si>
  <si>
    <t xml:space="preserve">cse_113_robotics_club_vi</t>
  </si>
  <si>
    <t xml:space="preserve">VGU có câu lạc bộ robotics và điện tử không?</t>
  </si>
  <si>
    <t xml:space="preserve">Có. Danh sách câu lạc bộ của trường có REC — VGU Robotics and Electronic Club.</t>
  </si>
  <si>
    <t xml:space="preserve">https://vgu.edu.vn/en/student-clubs</t>
  </si>
  <si>
    <t xml:space="preserve">cse_113_robotics_club</t>
  </si>
  <si>
    <t xml:space="preserve">cse_113_robotics_club_en</t>
  </si>
  <si>
    <t xml:space="preserve">Does VGU have a robotics and electronics club?</t>
  </si>
  <si>
    <t xml:space="preserve">Yes. The university's club directory lists REC — VGU Robotics and Electronic Club.</t>
  </si>
  <si>
    <t xml:space="preserve">cse_113_robotics_club_de</t>
  </si>
  <si>
    <t xml:space="preserve">Gibt es an der VGU einen Robotik- und Elektronik-Club?</t>
  </si>
  <si>
    <t xml:space="preserve">Ja. Das Clubverzeichnis der Universität führt den REC — VGU Robotics and Electronic Club auf.</t>
  </si>
  <si>
    <t xml:space="preserve">cse_114_german_club_vi</t>
  </si>
  <si>
    <t xml:space="preserve">Có câu lạc bộ để giao lưu tiếng Đức không tại VGU?</t>
  </si>
  <si>
    <t xml:space="preserve">Có. Bạn có thể tìm VGU Deutsch Club trong danh sách câu lạc bộ của trường.</t>
  </si>
  <si>
    <t xml:space="preserve">cse_114_german_club</t>
  </si>
  <si>
    <t xml:space="preserve">cse_114_german_club_en</t>
  </si>
  <si>
    <t xml:space="preserve">Is a German-language club listed at VGU?</t>
  </si>
  <si>
    <t xml:space="preserve">Yes. VGU Deutsch Club appears in the university's club directory.</t>
  </si>
  <si>
    <t xml:space="preserve">cse_114_german_club_de</t>
  </si>
  <si>
    <t xml:space="preserve">Ist ein Club für die deutsche Sprache aufgeführt an der VGU?</t>
  </si>
  <si>
    <t xml:space="preserve">Ja. Im Clubverzeichnis der Universität ist der VGU Deutsch Club verzeichnet.</t>
  </si>
  <si>
    <t xml:space="preserve">cse_115_football_club_vi</t>
  </si>
  <si>
    <t xml:space="preserve">Thích đá bóng thì có thể tìm câu lạc bộ nào ở VGU?</t>
  </si>
  <si>
    <t xml:space="preserve">Trường có liệt kê VFC — VGU Football Club dành cho hoạt động bóng đá.</t>
  </si>
  <si>
    <t xml:space="preserve">cse_115_football_club</t>
  </si>
  <si>
    <t xml:space="preserve">cse_115_football_club_en</t>
  </si>
  <si>
    <t xml:space="preserve">Which VGU club is listed for football?</t>
  </si>
  <si>
    <t xml:space="preserve">The university lists VFC — VGU Football Club for football activities.</t>
  </si>
  <si>
    <t xml:space="preserve">cse_115_football_club_de</t>
  </si>
  <si>
    <t xml:space="preserve">Welcher VGU-Club wird für Fußball genannt?</t>
  </si>
  <si>
    <t xml:space="preserve">Die Universität führt für Fußballaktivitäten den VFC — VGU Football Club auf.</t>
  </si>
  <si>
    <t xml:space="preserve">cse_116_multiple_clubs_vi</t>
  </si>
  <si>
    <t xml:space="preserve">Sinh viên có thể tham gia nhiều câu lạc bộ không tại VGU?</t>
  </si>
  <si>
    <t xml:space="preserve">Có. Trang Student Clubs nêu sinh viên có thể tham gia một hoặc nhiều câu lạc bộ.</t>
  </si>
  <si>
    <t xml:space="preserve">cse_116_multiple_clubs</t>
  </si>
  <si>
    <t xml:space="preserve">cse_116_multiple_clubs_en</t>
  </si>
  <si>
    <t xml:space="preserve">Can a student join more than one club at VGU?</t>
  </si>
  <si>
    <t xml:space="preserve">Yes. The Student Clubs page says students can join one or several clubs.</t>
  </si>
  <si>
    <t xml:space="preserve">cse_116_multiple_clubs_de</t>
  </si>
  <si>
    <t xml:space="preserve">Kann ein Studierender mehreren Clubs beitreten an der VGU?</t>
  </si>
  <si>
    <t xml:space="preserve">Ja. Laut der Seite Student Clubs können Studierende einem oder mehreren Clubs beitreten.</t>
  </si>
  <si>
    <t xml:space="preserve">cse_117_delay_eligibility_vi</t>
  </si>
  <si>
    <t xml:space="preserve">Nếu tạm thời khó khăn tài chính thì xin đóng học phí trễ được không trong chương trình CSE tại VGU?</t>
  </si>
  <si>
    <t xml:space="preserve">Có thể nộp đơn nếu bạn đang học tại VGU và có lý do chính đáng. Trường sẽ xem xét từng trường hợp, nên nộp đơn chưa có nghĩa là được duyệt.</t>
  </si>
  <si>
    <t xml:space="preserve">https://vgu.edu.vn/gia-han-hoc-phi</t>
  </si>
  <si>
    <t xml:space="preserve">cse_117_delay_eligibility</t>
  </si>
  <si>
    <t xml:space="preserve">cse_117_delay_eligibility_en</t>
  </si>
  <si>
    <t xml:space="preserve">Can I request more time to pay tuition if I have temporary financial difficulties in the CSE program at VGU?</t>
  </si>
  <si>
    <t xml:space="preserve">Current VGU students can apply if they have a justified reason. Requests are considered individually, so submitting a form does not guarantee approval.</t>
  </si>
  <si>
    <t xml:space="preserve">cse_117_delay_eligibility_de</t>
  </si>
  <si>
    <t xml:space="preserve">Kann ich bei vorübergehenden finanziellen Schwierigkeiten einen Aufschub der Studiengebühren beantragen im Studiengang CSE an der VGU?</t>
  </si>
  <si>
    <t xml:space="preserve">Eingeschriebene VGU-Studierende können bei berechtigtem Grund einen Antrag stellen. Jeder Fall wird einzeln geprüft, sodass das Einreichen eines Antrags keine Genehmigung garantiert.</t>
  </si>
  <si>
    <t xml:space="preserve">cse_118_delay_documents_vi</t>
  </si>
  <si>
    <t xml:space="preserve">Xin gia hạn học phí thì cần chuẩn bị đơn như thế nào trong chương trình CSE tại VGU?</t>
  </si>
  <si>
    <t xml:space="preserve">Bạn cần điền đầy đủ và đúng thông tin, ký đơn rồi xin xác nhận của phụ huynh hoặc người giám hộ.</t>
  </si>
  <si>
    <t xml:space="preserve">cse_118_delay_documents</t>
  </si>
  <si>
    <t xml:space="preserve">cse_118_delay_documents_en</t>
  </si>
  <si>
    <t xml:space="preserve">How do I prepare the tuition-extension form in the CSE program at VGU?</t>
  </si>
  <si>
    <t xml:space="preserve">Fill in the form accurately, sign it and obtain confirmation from a parent or guardian.</t>
  </si>
  <si>
    <t xml:space="preserve">cse_118_delay_documents_de</t>
  </si>
  <si>
    <t xml:space="preserve">Wie bereite ich das Antragsformular auf Gebührenstundung vor im Studiengang CSE an der VGU?</t>
  </si>
  <si>
    <t xml:space="preserve">Füllen Sie das Formular vollständig und wahrheitsgemäß aus, unterschreiben Sie es und holen Sie die Bestätigung eines Elternteils oder Erziehungsberechtigten ein.</t>
  </si>
  <si>
    <t xml:space="preserve">cse_119_delay_submission_vi</t>
  </si>
  <si>
    <t xml:space="preserve">Nộp đơn gia hạn học phí ở đâu trong chương trình CSE tại VGU?</t>
  </si>
  <si>
    <t xml:space="preserve">Bạn có thể gửi bản PDF đến asa.ticket@vgu.edu.vn hoặc nộp bản giấy tại phòng 218, tầng 2, tòa Hành chính.</t>
  </si>
  <si>
    <t xml:space="preserve">cse_119_delay_submission</t>
  </si>
  <si>
    <t xml:space="preserve">cse_119_delay_submission_en</t>
  </si>
  <si>
    <t xml:space="preserve">Where is a tuition-extension request submitted in the CSE program at VGU?</t>
  </si>
  <si>
    <t xml:space="preserve">Email the PDF to asa.ticket@vgu.edu.vn, or submit a paper copy at Room 218 on the second floor of the Administration Building.</t>
  </si>
  <si>
    <t xml:space="preserve">cse_119_delay_submission_de</t>
  </si>
  <si>
    <t xml:space="preserve">Wo wird ein Antrag auf Verlängerung der Gebührenzahlungsfrist eingereicht im Studiengang CSE an der VGU?</t>
  </si>
  <si>
    <t xml:space="preserve">Senden Sie das PDF per E-Mail an asa.ticket@vgu.edu.vn oder reichen Sie eine Papierfassung in Raum 218 im 2. Stock des Verwaltungsgebäudes ein.</t>
  </si>
  <si>
    <t xml:space="preserve">cse_120_delay_timeline_vi</t>
  </si>
  <si>
    <t xml:space="preserve">Cần nộp đơn gia hạn học phí trước hạn đóng bao lâu trong chương trình CSE tại VGU?</t>
  </si>
  <si>
    <t xml:space="preserve">Bạn cần nộp đơn ít nhất 2 tuần trước hạn đóng học phí. Theo hướng dẫn, ASA phản hồi trong 5 ngày làm việc sau khi nhận đủ hồ sơ hợp lệ.</t>
  </si>
  <si>
    <t xml:space="preserve">cse_120_delay_timeline</t>
  </si>
  <si>
    <t xml:space="preserve">cse_120_delay_timeline_en</t>
  </si>
  <si>
    <t xml:space="preserve">How early should I submit a tuition-extension request in the CSE program at VGU?</t>
  </si>
  <si>
    <t xml:space="preserve">Submit the request at least two weeks before the tuition deadline. The guidance says ASA responds within five working days after receiving a complete, valid application.</t>
  </si>
  <si>
    <t xml:space="preserve">cse_120_delay_timeline_de</t>
  </si>
  <si>
    <t xml:space="preserve">Wie frühzeitig sollte ich einen Antrag auf Gebührenstundung einreichen im Studiengang CSE an der VGU?</t>
  </si>
  <si>
    <t xml:space="preserve">Reichen Sie den Antrag mindestens zwei Wochen vor der Zahlungsfrist ein. Laut Leitfaden antwortet ASA innerhalb von fünf Werktagen nach Eingang eines vollständigen, gültigen Antrags.</t>
  </si>
  <si>
    <t xml:space="preserve">cse_121_java_prerequisite_vi</t>
  </si>
  <si>
    <t xml:space="preserve">course_details</t>
  </si>
  <si>
    <t xml:space="preserve">Trước môn Java cần học môn nào trong chương trình CSE tại VGU?</t>
  </si>
  <si>
    <t xml:space="preserve">Handbook 2022 ghi Programming 2 là môn tiên quyết của OO Programming in Java (61CSE215).</t>
  </si>
  <si>
    <t xml:space="preserve">https://vgu.edu.vn/documents/10192/2362585/20220222_40_Q%C4%90_%C4%90HV%C4%90_CSE_Module%2BHandbook.pdf/e1b81768-87ee-471a-ba4f-509b8219d2fa</t>
  </si>
  <si>
    <t xml:space="preserve">Tham khảo handbook bản 2022, không phải xác nhận cho khóa 2026. Học kỳ tính từ phần chuyên ngành; hỏi CSE về bản áp dụng cho khóa mình. Bổ sung, đối chiếu ngày 08/10/2026.</t>
  </si>
  <si>
    <t xml:space="preserve">cse_121_java_prerequisite</t>
  </si>
  <si>
    <t xml:space="preserve">2026-10-08</t>
  </si>
  <si>
    <t xml:space="preserve">cse_121_java_prerequisite_en</t>
  </si>
  <si>
    <t xml:space="preserve">What is the prerequisite for the Java module in the CSE program at VGU?</t>
  </si>
  <si>
    <t xml:space="preserve">The 2022 handbook lists Programming 2 as the prerequisite for OO Programming in Java (61CSE215).</t>
  </si>
  <si>
    <t xml:space="preserve">Reference: 2022 handbook, not confirmation for intake 2026. Semesters refer to the specialist program; ask CSE which edition applies to your cohort. Added and checked on 8 October 2026.</t>
  </si>
  <si>
    <t xml:space="preserve">cse_121_java_prerequisite_de</t>
  </si>
  <si>
    <t xml:space="preserve">Welche Voraussetzung gilt für das Java-Modul im Studiengang CSE an der VGU?</t>
  </si>
  <si>
    <t xml:space="preserve">Das Modulhandbuch 2022 nennt Programming 2 als Voraussetzung für OO Programming in Java (61CSE215).</t>
  </si>
  <si>
    <t xml:space="preserve">Referenz: Modulhandbuch 2022, keine Bestätigung für den Jahrgang 2026. Die Semesterangaben beziehen sich auf das Fachstudium; fragen Sie bei CSE nach, welche Ausgabe für Ihren Jahrgang gilt. Hinzugefügt und geprüft am 8. Oktober 2026.</t>
  </si>
  <si>
    <t xml:space="preserve">cse_122_os_workload_vi</t>
  </si>
  <si>
    <t xml:space="preserve">Môn Hệ điều hành có tính cả thời gian tự học không trong chương trình CSE tại VGU?</t>
  </si>
  <si>
    <t xml:space="preserve">Có. Handbook 2022 phân bổ 60 giờ học trực tiếp và 90 giờ bài tập, tự học cho môn này.</t>
  </si>
  <si>
    <t xml:space="preserve">cse_122_os_workload</t>
  </si>
  <si>
    <t xml:space="preserve">cse_122_os_workload_en</t>
  </si>
  <si>
    <t xml:space="preserve">Does the Operating System workload include self-study in the CSE program at VGU?</t>
  </si>
  <si>
    <t xml:space="preserve">Yes. The 2022 handbook allocates 60 contact hours and 90 hours for assignments and independent study.</t>
  </si>
  <si>
    <t xml:space="preserve">cse_122_os_workload_de</t>
  </si>
  <si>
    <t xml:space="preserve">Umfasst der Arbeitsaufwand für Betriebssysteme auch das Selbststudium im Studiengang CSE an der VGU?</t>
  </si>
  <si>
    <t xml:space="preserve">Ja. Das Modulhandbuch 2022 sieht 60 Kontaktstunden sowie 90 Stunden für Übungsaufgaben und Selbststudium vor.</t>
  </si>
  <si>
    <t xml:space="preserve">cse_123_database_semester_vi</t>
  </si>
  <si>
    <t xml:space="preserve">Môn Databases học kỳ mấy, bao nhiêu tín chỉ trong chương trình CSE tại VGU?</t>
  </si>
  <si>
    <t xml:space="preserve">Trong handbook 2022, Databases (61CSE216) nằm ở học kỳ chuyên ngành 3, có 5 ECTS.</t>
  </si>
  <si>
    <t xml:space="preserve">cse_123_database_semester</t>
  </si>
  <si>
    <t xml:space="preserve">cse_123_database_semester_en</t>
  </si>
  <si>
    <t xml:space="preserve">When is Databases scheduled, and how many credits is it in the CSE program at VGU?</t>
  </si>
  <si>
    <t xml:space="preserve">The 2022 handbook places Databases (61CSE216) in specialist semester 3, with 5 ECTS.</t>
  </si>
  <si>
    <t xml:space="preserve">cse_123_database_semester_de</t>
  </si>
  <si>
    <t xml:space="preserve">In welchem Semester findet Databases statt und wie viele Credits umfasst es im Studiengang CSE an der VGU?</t>
  </si>
  <si>
    <t xml:space="preserve">Das Modulhandbuch 2022 ordnet Databases (61CSE216) dem 3. Fachsemester mit 5 ECTS zu.</t>
  </si>
  <si>
    <t xml:space="preserve">cse_124_internship_prerequisite_vi</t>
  </si>
  <si>
    <t xml:space="preserve">Cần đủ bao nhiêu tín chỉ để đăng ký thực tập trong chương trình CSE tại VGU?</t>
  </si>
  <si>
    <t xml:space="preserve">Quy chế riêng CSE yêu cầu ít nhất 120 CP trước khi đăng ký thực tập.</t>
  </si>
  <si>
    <t xml:space="preserve">https://vgu.edu.vn/documents/10192/2362585/CSE%2BSpecific%2BExam%2BRegulation-Annexes%2BA-B.pdf/18585d97-0158-435f-957f-90e4ea0325a3</t>
  </si>
  <si>
    <t xml:space="preserve">Quy chế riêng, Điều 6–7; tài liệu ghi áp dụng từ khóa 2021. Chưa xác nhận các sửa đổi áp dụng cho từng khóa; hỏi CSE trước khi đăng ký. Bổ sung, đối chiếu ngày 08/10/2026.</t>
  </si>
  <si>
    <t xml:space="preserve">cse_124_internship_prerequisite</t>
  </si>
  <si>
    <t xml:space="preserve">cse_124_internship_prerequisite_en</t>
  </si>
  <si>
    <t xml:space="preserve">How many credits are required before applying for the internship in the CSE program at VGU?</t>
  </si>
  <si>
    <t xml:space="preserve">The CSE-specific regulations require at least 120 CP before applying for the internship.</t>
  </si>
  <si>
    <t xml:space="preserve">Specific regulations, Articles 6–7; the document states intake 2021 onwards. Later cohort-specific amendments have not been confirmed; check with CSE before registering. Added and checked on 8 October 2026.</t>
  </si>
  <si>
    <t xml:space="preserve">cse_124_internship_prerequisite_de</t>
  </si>
  <si>
    <t xml:space="preserve">Wie viele Credits sind vor der Anmeldung zum Praktikum erforderlich im Studiengang CSE an der VGU?</t>
  </si>
  <si>
    <t xml:space="preserve">Die fachspezifische CSE-Prüfungsordnung verlangt mindestens 120 CP vor der Anmeldung zum Praktikum.</t>
  </si>
  <si>
    <t xml:space="preserve">Fachspezifische Prüfungsordnung, Artikel 6–7; laut Dokument gültig ab Jahrgang 2021. Spätere jahrgangsspezifische Änderungen sind nicht bestätigt; informieren Sie sich vor der Anmeldung bei CSE. Hinzugefügt und geprüft am 8. Oktober 2026.</t>
  </si>
  <si>
    <t xml:space="preserve">cse_125_thesis_prerequisite_vi</t>
  </si>
  <si>
    <t xml:space="preserve">Điều kiện bắt đầu khóa luận CSE là gì?</t>
  </si>
  <si>
    <t xml:space="preserve">Theo quy chế riêng: hoàn thành 150 CP học phần và có thực tập được điều phối viên chương trình chấp thuận.</t>
  </si>
  <si>
    <t xml:space="preserve">cse_125_thesis_prerequisite</t>
  </si>
  <si>
    <t xml:space="preserve">cse_125_thesis_prerequisite_en</t>
  </si>
  <si>
    <t xml:space="preserve">What are the conditions for starting the CSE thesis?</t>
  </si>
  <si>
    <t xml:space="preserve">The specific regulations require 150 CP of completed coursework and internship approval from the program coordinator.</t>
  </si>
  <si>
    <t xml:space="preserve">cse_125_thesis_prerequisite_de</t>
  </si>
  <si>
    <t xml:space="preserve">Welche Voraussetzungen gelten für den Beginn der CSE-Bachelorarbeit?</t>
  </si>
  <si>
    <t xml:space="preserve">Die fachspezifische Ordnung verlangt 150 CP an abgeschlossenen Studienleistungen sowie die Genehmigung des Praktikums durch die Studiengangskoordination.</t>
  </si>
  <si>
    <t xml:space="preserve">cse_126_internship_confirmation_vi</t>
  </si>
  <si>
    <t xml:space="preserve">Bắt đầu thực tập có cần nộp xác nhận không trong chương trình CSE tại VGU?</t>
  </si>
  <si>
    <t xml:space="preserve">Có. Quy chế riêng yêu cầu nộp xác nhận thực tập đã ký khi bắt đầu thực tập.</t>
  </si>
  <si>
    <t xml:space="preserve">cse_126_internship_confirmation</t>
  </si>
  <si>
    <t xml:space="preserve">cse_126_internship_confirmation_en</t>
  </si>
  <si>
    <t xml:space="preserve">Do I need to submit an internship confirmation in the CSE program at VGU?</t>
  </si>
  <si>
    <t xml:space="preserve">Yes. The specific regulations require a signed confirmation at the start of the internship.</t>
  </si>
  <si>
    <t xml:space="preserve">cse_126_internship_confirmation_de</t>
  </si>
  <si>
    <t xml:space="preserve">Muss ich zu Beginn des Praktikums eine Praktikumsbestätigung einreichen im Studiengang CSE an der VGU?</t>
  </si>
  <si>
    <t xml:space="preserve">Ja. Die fachspezifische Ordnung verlangt zu Beginn des Praktikums eine unterschriebene Bestätigung.</t>
  </si>
  <si>
    <t xml:space="preserve">cse_127_module_retakes_vi</t>
  </si>
  <si>
    <t xml:space="preserve">examinations</t>
  </si>
  <si>
    <t xml:space="preserve">Trượt môn thì được thi lại như thế nào trong chương trình CSE tại VGU?</t>
  </si>
  <si>
    <t xml:space="preserve">Theo Điều 12, trượt lần đầu được thi lại; trượt hai lần thì được học lại môn một lần, với tối đa hai lượt thi tiếp theo. Học lại có thu phí.</t>
  </si>
  <si>
    <t xml:space="preserve">https://vgu.edu.vn/documents/14921/7069235/General%2BExamination%2BRegulation%2Bfor%2BBachelor%2Band%2BMaster%2Bprograms_EN.pdf/afa0cf3b-31dd-4a5f-b098-3cb56aeb320e</t>
  </si>
  <si>
    <t xml:space="preserve">Quy chế chung theo Quyết định 20/QĐ-ĐHVĐ ngày 21/01/2022, dành cho chương trình sau chuyển giao. Cần xác nhận quy chế áp dụng cho khóa của bạn; không áp dụng câu này cho khóa luận. Bổ sung, đối chiếu ngày 08/10/2026.</t>
  </si>
  <si>
    <t xml:space="preserve">cse_127_module_retakes</t>
  </si>
  <si>
    <t xml:space="preserve">cse_127_module_retakes_en</t>
  </si>
  <si>
    <t xml:space="preserve">What happens if I fail a module exam in the CSE program at VGU?</t>
  </si>
  <si>
    <t xml:space="preserve">Article 12 allows a resit; after two failures, one paid module repeat provides up to two further exam attempts.</t>
  </si>
  <si>
    <t xml:space="preserve">General regulations under Decision 20/QĐ-ĐHVĐ, 21 January 2022, for programs after transition. Confirm which regulations govern your cohort; this answer does not cover thesis attempts. Added and checked on 8 October 2026.</t>
  </si>
  <si>
    <t xml:space="preserve">cse_127_module_retakes_de</t>
  </si>
  <si>
    <t xml:space="preserve">Was passiert, wenn ich eine Modulprüfung nicht bestehe im Studiengang CSE an der VGU?</t>
  </si>
  <si>
    <t xml:space="preserve">Artikel 12 erlaubt eine Wiederholungsprüfung; nach zweimaligem Nichtbestehen ermöglicht eine kostenpflichtige Modulwiederholung bis zu zwei weitere Prüfungsversuche.</t>
  </si>
  <si>
    <t xml:space="preserve">Allgemeine Prüfungsordnung gemäß Beschluss 20/QĐ-ĐHVĐ vom 21. Januar 2022 für Studiengänge nach der Übergangsphase. Klären Sie, welche Ordnung für Ihren Jahrgang gilt; diese Antwort gilt nicht für Versuche bei der Abschlussarbeit. Hinzugefügt und geprüft am 8. Oktober 2026.</t>
  </si>
  <si>
    <t xml:space="preserve">cse_128_improve_passed_grade_vi</t>
  </si>
  <si>
    <t xml:space="preserve">Đã đậu rồi có được thi lại để cải thiện điểm không trong chương trình CSE tại VGU?</t>
  </si>
  <si>
    <t xml:space="preserve">Theo Điều 12, không được thi lại bài thi đã đạt.</t>
  </si>
  <si>
    <t xml:space="preserve">cse_128_improve_passed_grade</t>
  </si>
  <si>
    <t xml:space="preserve">cse_128_improve_passed_grade_en</t>
  </si>
  <si>
    <t xml:space="preserve">Can I retake a passed exam to improve my grade in the CSE program at VGU?</t>
  </si>
  <si>
    <t xml:space="preserve">Article 12 does not allow a passed exam to be retaken.</t>
  </si>
  <si>
    <t xml:space="preserve">cse_128_improve_passed_grade_de</t>
  </si>
  <si>
    <t xml:space="preserve">Kann ich eine bestandene Prüfung wiederholen, um meine Note zu verbessern im Studiengang CSE an der VGU?</t>
  </si>
  <si>
    <t xml:space="preserve">Gemäß Artikel 12 ist die Wiederholung einer bereits bestandenen Prüfung nicht zulässig.</t>
  </si>
  <si>
    <t xml:space="preserve">cse_129_illness_exam_vi</t>
  </si>
  <si>
    <t xml:space="preserve">Bị ốm nên không thi được thì làm gì trong chương trình CSE tại VGU?</t>
  </si>
  <si>
    <t xml:space="preserve">Báo ngay bằng văn bản qua trợ lý chương trình; nộp giấy y tế trong ba ngày sau kỳ thi theo Điều 13 và 15.</t>
  </si>
  <si>
    <t xml:space="preserve">cse_129_illness_exam</t>
  </si>
  <si>
    <t xml:space="preserve">cse_129_illness_exam_en</t>
  </si>
  <si>
    <t xml:space="preserve">What if illness prevents me from taking an exam in the CSE program at VGU?</t>
  </si>
  <si>
    <t xml:space="preserve">Notify the program assistant promptly in writing; submit medical evidence within three days after the exam under Articles 13 and 15.</t>
  </si>
  <si>
    <t xml:space="preserve">cse_129_illness_exam_de</t>
  </si>
  <si>
    <t xml:space="preserve">Was ist zu tun, wenn ich wegen Krankheit nicht an einer Prüfung teilnehmen kann im Studiengang CSE an der VGU?</t>
  </si>
  <si>
    <t xml:space="preserve">Informieren Sie umgehend schriftlich die Studiengangsassistenz und reichen Sie gemäß Artikel 13 und 15 innerhalb von drei Tagen nach der Prüfung ein ärztliches Attest ein.</t>
  </si>
  <si>
    <t xml:space="preserve">cse_130_helpdesk_request_vi</t>
  </si>
  <si>
    <t xml:space="preserve">digital_services</t>
  </si>
  <si>
    <t xml:space="preserve">Muốn gửi yêu cầu hỗ trợ kỹ thuật thì vào đâu tại VGU?</t>
  </si>
  <si>
    <t xml:space="preserve">Vào VGU Helpdesk, chọn Open a New Ticket và gửi yêu cầu bằng một địa chỉ email hợp lệ.</t>
  </si>
  <si>
    <t xml:space="preserve">https://helpdesk.vgu.edu.vn/</t>
  </si>
  <si>
    <t xml:space="preserve">Nguồn không ghi rõ năm áp dụng. Kiểm tra thông báo mới tại trang dịch vụ trước khi sử dụng. Bổ sung, đối chiếu ngày 08/10/2026.</t>
  </si>
  <si>
    <t xml:space="preserve">cse_130_helpdesk_request</t>
  </si>
  <si>
    <t xml:space="preserve">cse_130_helpdesk_request_en</t>
  </si>
  <si>
    <t xml:space="preserve">Where can I submit a technical support request at VGU?</t>
  </si>
  <si>
    <t xml:space="preserve">Visit VGU Helpdesk, choose Open a New Ticket, and submit your request with a valid email address.</t>
  </si>
  <si>
    <t xml:space="preserve">The source does not specify an applicable year. Check the service page for updated notices before use. Added and checked on 8 October 2026.</t>
  </si>
  <si>
    <t xml:space="preserve">cse_130_helpdesk_request_de</t>
  </si>
  <si>
    <t xml:space="preserve">Wo kann ich eine technische Supportanfrage stellen an der VGU?</t>
  </si>
  <si>
    <t xml:space="preserve">Rufen Sie den VGU Helpdesk auf, wählen Sie Open a New Ticket und senden Sie Ihre Anfrage mit einer gültigen E-Mail-Adresse ab.</t>
  </si>
  <si>
    <t xml:space="preserve">Die Quelle gibt kein geltendes Jahr an. Prüfen Sie vor der Nutzung die Serviceseite auf aktuelle Hinweise. Hinzugefügt und geprüft am 8. Oktober 2026.</t>
  </si>
  <si>
    <t xml:space="preserve">cse_131_helpdesk_tracking_vi</t>
  </si>
  <si>
    <t xml:space="preserve">Gửi yêu cầu hỗ trợ rồi thì xem tiến độ ở đâu tại VGU?</t>
  </si>
  <si>
    <t xml:space="preserve">Chọn Check Ticket Status trên VGU Helpdesk. Giữ lại mã ticket để theo dõi tiến độ và phản hồi.</t>
  </si>
  <si>
    <t xml:space="preserve">cse_131_helpdesk_tracking</t>
  </si>
  <si>
    <t xml:space="preserve">cse_131_helpdesk_tracking_en</t>
  </si>
  <si>
    <t xml:space="preserve">How can I track a support request at VGU?</t>
  </si>
  <si>
    <t xml:space="preserve">Use Check Ticket Status on VGU Helpdesk. Keep your ticket number to follow progress and responses.</t>
  </si>
  <si>
    <t xml:space="preserve">cse_131_helpdesk_tracking_de</t>
  </si>
  <si>
    <t xml:space="preserve">Wie kann ich den Bearbeitungsstand einer Supportanfrage verfolgen an der VGU?</t>
  </si>
  <si>
    <t xml:space="preserve">Nutzen Sie Check Ticket Status im VGU Helpdesk. Bewahren Sie Ihre Ticketnummer auf, um Fortschritt und Antworten einzusehen.</t>
  </si>
  <si>
    <t xml:space="preserve">cse_132_forgot_password_vi</t>
  </si>
  <si>
    <t xml:space="preserve">Quên mật khẩu tài khoản VGU thì liên hệ ai?</t>
  </si>
  <si>
    <t xml:space="preserve">Gửi yêu cầu đến it.ticket@vgu.edu.vn. Nếu không vào được email sinh viên, dùng email cá nhân đã đăng ký trong hồ sơ nhập học.</t>
  </si>
  <si>
    <t xml:space="preserve">https://portal.vgu.edu.vn/</t>
  </si>
  <si>
    <t xml:space="preserve">Đối chiếu qua nội dung được công cụ tìm kiếm lưu lại; trang trực tiếp không hiện đầy đủ nội dung. Nguồn không ghi rõ năm áp dụng. Bổ sung, đối chiếu ngày 08/10/2026.</t>
  </si>
  <si>
    <t xml:space="preserve">cse_132_forgot_password</t>
  </si>
  <si>
    <t xml:space="preserve">cse_132_forgot_password_en</t>
  </si>
  <si>
    <t xml:space="preserve">Who can help if I forget my VGU password?</t>
  </si>
  <si>
    <t xml:space="preserve">Email it.ticket@vgu.edu.vn. If your student email is inaccessible, use the personal email registered in your admission file.</t>
  </si>
  <si>
    <t xml:space="preserve">Checked against search-indexed content; the live page did not expose the full text. The source does not specify an applicable year. Added and checked on 8 October 2026.</t>
  </si>
  <si>
    <t xml:space="preserve">cse_132_forgot_password_de</t>
  </si>
  <si>
    <t xml:space="preserve">Wer hilft weiter, wenn ich mein VGU-Passwort vergessen habe?</t>
  </si>
  <si>
    <t xml:space="preserve">Schreiben Sie an it.ticket@vgu.edu.vn. Falls Sie keinen Zugriff auf Ihre Studierenden-E-Mail haben, nutzen Sie die in Ihrer Zulassungsakte hinterlegte private E-Mail-Adresse.</t>
  </si>
  <si>
    <t xml:space="preserve">Abgeglichen mit suchindexierten Inhalten; die Live-Seite zeigte nicht den vollständigen Text an. Die Quelle gibt kein geltendes Jahr an. Hinzugefügt und geprüft am 8. Oktober 2026.</t>
  </si>
  <si>
    <t xml:space="preserve">cse_133_microsoft_365_vi</t>
  </si>
  <si>
    <t xml:space="preserve">Sinh viên VGU có tài khoản Microsoft 365 không?</t>
  </si>
  <si>
    <t xml:space="preserve">VGU Portal giới thiệu Microsoft 365 A1 cho sinh viên. Dùng tài khoản sinh viên để truy cập các ứng dụng và dịch vụ trực tuyến được cấp.</t>
  </si>
  <si>
    <t xml:space="preserve">cse_133_microsoft_365</t>
  </si>
  <si>
    <t xml:space="preserve">cse_133_microsoft_365_en</t>
  </si>
  <si>
    <t xml:space="preserve">Do VGU students have Microsoft 365 access?</t>
  </si>
  <si>
    <t xml:space="preserve">VGU Portal lists Microsoft 365 A1 for students. Use your student account for the provided apps and online services.</t>
  </si>
  <si>
    <t xml:space="preserve">cse_133_microsoft_365_de</t>
  </si>
  <si>
    <t xml:space="preserve">Haben VGU-Studierende Zugang zu Microsoft 365?</t>
  </si>
  <si>
    <t xml:space="preserve">Das VGU Portal führt Microsoft 365 A1 für Studierende auf. Nutzen Sie Ihr Studierendenkonto für die bereitgestellten Apps und Online-Dienste.</t>
  </si>
  <si>
    <t xml:space="preserve">cse_134_counselling_booking_vi</t>
  </si>
  <si>
    <t xml:space="preserve">student_support</t>
  </si>
  <si>
    <t xml:space="preserve">Muốn đặt lịch tư vấn tâm lý ở trường thì làm sao tại VGU?</t>
  </si>
  <si>
    <t xml:space="preserve">Vào trang Dịch vụ chăm sóc sức khỏe tinh thần của VGU, điền Counselling Register Form. Chuyên viên phụ trách sẽ liên hệ với bạn.</t>
  </si>
  <si>
    <t xml:space="preserve">https://vgu.edu.vn/vi/well-being-and-mental-health-care-services</t>
  </si>
  <si>
    <t xml:space="preserve">cse_134_counselling_booking</t>
  </si>
  <si>
    <t xml:space="preserve">cse_134_counselling_booking_en</t>
  </si>
  <si>
    <t xml:space="preserve">How can I book a counselling appointment at VGU?</t>
  </si>
  <si>
    <t xml:space="preserve">Open the VGU Well-Being and Mental Health Care Services page and complete the Counselling Register Form. The responsible officer will contact you.</t>
  </si>
  <si>
    <t xml:space="preserve">cse_134_counselling_booking_de</t>
  </si>
  <si>
    <t xml:space="preserve">Wie kann ich an der VGU einen Termin für die psychologische Beratung buchen?</t>
  </si>
  <si>
    <t xml:space="preserve">Öffnen Sie die VGU-Seite Well-Being and Mental Health Care Services und füllen Sie das Counselling Register Form aus. Die zuständige Stelle setzt sich anschließend mit Ihnen in Verbindung.</t>
  </si>
  <si>
    <t xml:space="preserve">cse_135_book_allowance_vi</t>
  </si>
  <si>
    <t xml:space="preserve">Sinh viên được mượn bao nhiêu sách mỗi lần tại VGU?</t>
  </si>
  <si>
    <t xml:space="preserve">Trang quy định thư viện ghi mức mượn dành cho sinh viên là 3 cuốn trong 1 tuần. Kiểm tra hạn trả cụ thể trong tài khoản mượn.</t>
  </si>
  <si>
    <t xml:space="preserve">https://library.vgu.edu.vn/regulations/</t>
  </si>
  <si>
    <t xml:space="preserve">cse_135_book_allowance</t>
  </si>
  <si>
    <t xml:space="preserve">cse_135_book_allowance_en</t>
  </si>
  <si>
    <t xml:space="preserve">How many library books can a student borrow at VGU?</t>
  </si>
  <si>
    <t xml:space="preserve">The library regulations list a student allowance of three books for one week. Check the actual due date in your borrowing account.</t>
  </si>
  <si>
    <t xml:space="preserve">cse_135_book_allowance_de</t>
  </si>
  <si>
    <t xml:space="preserve">Wie viele Bücher dürfen Studierende in der Bibliothek gleichzeitig ausleihen an der VGU?</t>
  </si>
  <si>
    <t xml:space="preserve">Die Bibliotheksordnung nennt für Studierende ein Kontingent von drei Büchern für eine Woche. Prüfen Sie das genaue Rückgabedatum in Ihrem Benutzerkonto.</t>
  </si>
  <si>
    <t xml:space="preserve">cse_136_lost_library_card_vi</t>
  </si>
  <si>
    <t xml:space="preserve">Làm mất thẻ dùng ở thư viện thì cần báo không tại VGU?</t>
  </si>
  <si>
    <t xml:space="preserve">Có. Báo ngay cho thư viện để tạm khóa thẻ, tránh bị người khác sử dụng. Email hỗ trợ là library@vgu.edu.vn.</t>
  </si>
  <si>
    <t xml:space="preserve">https://library.vgu.edu.vn/privacy/</t>
  </si>
  <si>
    <t xml:space="preserve">cse_136_lost_library_card</t>
  </si>
  <si>
    <t xml:space="preserve">cse_136_lost_library_card_en</t>
  </si>
  <si>
    <t xml:space="preserve">Should I report a lost library card at VGU?</t>
  </si>
  <si>
    <t xml:space="preserve">Yes. Notify the library immediately so it can temporarily block the card against misuse. Contact library@vgu.edu.vn.</t>
  </si>
  <si>
    <t xml:space="preserve">cse_136_lost_library_card_de</t>
  </si>
  <si>
    <t xml:space="preserve">Sollte ich einen verlorenen Bibliotheksausweis melden an der VGU?</t>
  </si>
  <si>
    <t xml:space="preserve">Ja. Informieren Sie umgehend die Bibliothek, damit die Karte vorübergehend gegen Missbrauch gesperrt werden kann. Kontakt: library@vgu.edu.vn.</t>
  </si>
  <si>
    <t xml:space="preserve">cse_137_lost_book_vi</t>
  </si>
  <si>
    <t xml:space="preserve">Làm mất sách thư viện thì xử lý thế nào tại VGU?</t>
  </si>
  <si>
    <t xml:space="preserve">Liên hệ thư viện để xác định khoản bồi thường. Cách tính phụ thuộc việc sách còn xuất bản hay không, kèm phí xử lý và vận chuyển; không có một mức chung cho mọi sách.</t>
  </si>
  <si>
    <t xml:space="preserve">cse_137_lost_book</t>
  </si>
  <si>
    <t xml:space="preserve">cse_137_lost_book_en</t>
  </si>
  <si>
    <t xml:space="preserve">What should I do if I lose a library book at VGU?</t>
  </si>
  <si>
    <t xml:space="preserve">Contact the library to calculate compensation. It depends on whether the book remains in print, plus processing and shipping charges; there is no single flat replacement fee.</t>
  </si>
  <si>
    <t xml:space="preserve">cse_137_lost_book_de</t>
  </si>
  <si>
    <t xml:space="preserve">Was soll ich tun, wenn ich ein Bibliotheksbuch verliere an der VGU?</t>
  </si>
  <si>
    <t xml:space="preserve">Kontaktieren Sie die Bibliothek zur Berechnung des Schadensersatzes. Dieser hängt davon ab, ob das Buch noch im Handel erhältlich ist, zuzüglich Bearbeitungs- und Versandkosten; es gibt keine einheitliche Pauschalgebühr.</t>
  </si>
  <si>
    <t xml:space="preserve">cse_138_academic_portal_vi</t>
  </si>
  <si>
    <t xml:space="preserve">Có một trang chung để vào Moodle và SIS không tại VGU?</t>
  </si>
  <si>
    <t xml:space="preserve">Có. VGU Portal tập hợp các nền tảng học tập; bạn có thể tìm Moodle và SIS trong phần Academic Services.</t>
  </si>
  <si>
    <t xml:space="preserve">cse_138_academic_portal</t>
  </si>
  <si>
    <t xml:space="preserve">cse_138_academic_portal_en</t>
  </si>
  <si>
    <t xml:space="preserve">Is there one gateway to Moodle and SIS at VGU?</t>
  </si>
  <si>
    <t xml:space="preserve">Yes. VGU Portal groups academic platforms under Academic Services, including Moodle and SIS.</t>
  </si>
  <si>
    <t xml:space="preserve">cse_138_academic_portal_de</t>
  </si>
  <si>
    <t xml:space="preserve">Gibt es einen zentralen Zugang zu Moodle und SIS an der VGU?</t>
  </si>
  <si>
    <t xml:space="preserve">Ja. Das VGU Portal bündelt die akademischen Plattformen unter Academic Services, darunter auch Moodle und SIS.</t>
  </si>
  <si>
    <t xml:space="preserve">cse_139_print_copy_scan_vi</t>
  </si>
  <si>
    <t xml:space="preserve">Thư viện có chỗ in, photocopy và scan không tại VGU?</t>
  </si>
  <si>
    <t xml:space="preserve">Có. Xem mục Print-Copy-Scan Services trên website thư viện để biết cách sử dụng. Hỏi thư viện về mức phí hiện hành trước khi in.</t>
  </si>
  <si>
    <t xml:space="preserve">https://library.vgu.edu.vn/print-copy-scan-services/</t>
  </si>
  <si>
    <t xml:space="preserve">cse_139_print_copy_scan</t>
  </si>
  <si>
    <t xml:space="preserve">cse_139_print_copy_scan_en</t>
  </si>
  <si>
    <t xml:space="preserve">Does the library offer printing, copying and scanning at VGU?</t>
  </si>
  <si>
    <t xml:space="preserve">Yes. See Print-Copy-Scan Services on the library website for instructions. Check current charges with the library before printing.</t>
  </si>
  <si>
    <t xml:space="preserve">cse_139_print_copy_scan_de</t>
  </si>
  <si>
    <t xml:space="preserve">Bietet die Bibliothek Möglichkeiten zum Drucken, Kopieren und Scannen an der VGU?</t>
  </si>
  <si>
    <t xml:space="preserve">Ja. Hinweise zur Nutzung finden Sie unter Print-Copy-Scan Services auf der Bibliothekswebsite. Erkundigen Sie sich vor dem Drucken in der Bibliothek nach den aktuellen Gebühren.</t>
  </si>
  <si>
    <t xml:space="preserve">cse_140_thesis_examples_vi</t>
  </si>
  <si>
    <t xml:space="preserve">Muốn tìm khóa luận để đọc tham khảo thì vào đâu trong chương trình CSE tại VGU?</t>
  </si>
  <si>
    <t xml:space="preserve">FAQ của thư viện hướng dẫn tìm ở VGU Research Repository hoặc Open access theses. Khả năng tải tài liệu tùy quyền truy cập của từng tài liệu.</t>
  </si>
  <si>
    <t xml:space="preserve">https://library.vgu.edu.vn/faq/</t>
  </si>
  <si>
    <t xml:space="preserve">cse_140_thesis_examples</t>
  </si>
  <si>
    <t xml:space="preserve">cse_140_thesis_examples_en</t>
  </si>
  <si>
    <t xml:space="preserve">Where can I find theses to read for reference in the CSE program at VGU?</t>
  </si>
  <si>
    <t xml:space="preserve">The library FAQ directs students to the VGU Research Repository or Open access theses. Download availability depends on the access permissions of each document.</t>
  </si>
  <si>
    <t xml:space="preserve">cse_140_thesis_examples_de</t>
  </si>
  <si>
    <t xml:space="preserve">Wo finde ich Abschlussarbeiten zum Nachlesen als Referenz im Studiengang CSE an der VGU?</t>
  </si>
  <si>
    <t xml:space="preserve">Die Bibliotheks-FAQ verweist auf das VGU Research Repository oder Open access theses. Ob ein Dokument heruntergeladen werden kann, hängt von den jeweiligen Zugriffsrechten ab.</t>
  </si>
  <si>
    <t xml:space="preserve">cse_141_curriculum_overview_vi</t>
  </si>
  <si>
    <t xml:space="preserve">Cấu trúc chương trình ngành Khoa học máy tính (CSE) tại VGU theo lộ trình 4 năm như thế nào?</t>
  </si>
  <si>
    <t xml:space="preserve">Chương trình tuân thủ nghiêm ngặt các quy định về giáo trình, phương pháp giảng dạy và thi cử của trường đại học đối tác Đức.
Thời lượng chương trình: 4 năm (180 tín chỉ), bao gồm 1 năm đại cương (không có tín chỉ) và 6 học kỳ chuyên ngành (180 tín chỉ).
Môn học mới của năm chuyên ngành kể từ 2024: IoT và Thiết bị thông minh, Giới thiệu về Khoa học dữ liệu &amp; AI; và Môn tự chọn 2.
Cử nhân Khoa học Máy tính với các lĩnh vực: Kỹ thuật phần mềm, Ứng dụng IoT / Di động, Khoa học Dữ liệu, AI / Máy học, Bảo mật CNTT.
Năm đại cương – khóa học tiếng anh và những môn cơ sở ngành.
Sinh viên sẽ được học các khóa học lập trình cơ bản như C và C++, các môn toán học cần thiết và một số môn tổng quan về khoa học máy tính.
Năm 2: Chương trình tập trung vào các môn học cốt lõi của khoa học máy tính như Cơ sở dữ liệu, Kỹ thuật phần mềm, và Mạng máy tính, cùng với các khóa học lập trình nâng cao hơn như Java.
Năm 3 &amp; Năm 4: Sinh viên sẽ tìm hiểu các chủ đề mới và chuyên biệt trong khoa học máy tính, đồng thời tham gia các môn học thực tế như Dự án, Thực tập, và Luận văn tốt nghiệp để áp dụng kiến thức đã học vào thực tiễn và khám phá môi trường làm việc trong ngành.
Học kỳ ở nước ngoài: Sinh viên năm cuối sẽ có cơ hội học tập và làm luận văn tốt nghiệp tại Đức với học bổng DAAD hoặc chi phí tự túc.</t>
  </si>
  <si>
    <t xml:space="preserve">Nguồn: Cổng thông tin chính thức VGU (nhóm cse-curriculum, mã tài liệu 7d35d4ca290f). Xác minh lần cuối ngày 2026-03-01. Áp dụng cho khóa/năm 2026.</t>
  </si>
  <si>
    <t xml:space="preserve">cse_141_curriculum_overview</t>
  </si>
  <si>
    <t xml:space="preserve">corpus_section</t>
  </si>
  <si>
    <t xml:space="preserve">2026-03-01</t>
  </si>
  <si>
    <t xml:space="preserve">cse_141_curriculum_overview_en</t>
  </si>
  <si>
    <t xml:space="preserve">How is the 4-year Computer Science (CSE) program structure organized at VGU?</t>
  </si>
  <si>
    <t xml:space="preserve">The program strictly adheres to the curriculum, teaching methods, and examination regulations of the German partner university.
Program duration: 4 years (180 credits), including 1 foundation year (no credits) and 6 specialization semesters (180 credits).
New subjects for the specialization years starting from 2024: IoT and Smart Devices, Introduction to Data Science &amp; AI, and Elective 2.
Bachelor of Computer Science with fields in: Software Engineering, IoT/Mobile Applications, Data Science, AI/Machine Learning, IT Security.
Foundation year: English courses and foundation courses of the major. Students will learn basic programming courses such as C and C++, essential mathematics, and some overview courses in computer science.
Year 2: The program focuses on core computer science subjects such as Databases, Software Engineering, and Computer Networks, along with more advanced programming courses like Java.
Years 3 &amp; 4: Students will explore new and specialized topics in computer science, and participate in practical subjects such as Projects, Internships, and the Graduation Thesis to apply their learned knowledge in practice and explore the working environment in the industry.
Semester abroad: Final year students will have the opportunity to study and complete their graduation thesis in Germany with a DAAD scholarship or at their own expense.</t>
  </si>
  <si>
    <t xml:space="preserve">Source: Official VGU Portal (group cse-curriculum, doc e6a3ba94a388). Last verified on 2026-03-01. For intake/admission year 2026.</t>
  </si>
  <si>
    <t xml:space="preserve">cse_141_curriculum_overview_de</t>
  </si>
  <si>
    <t xml:space="preserve">Wie ist der 4-jährige Studienplan und die Programmstruktur für Informatik (CSE) an der VGU aufgebaut?</t>
  </si>
  <si>
    <t xml:space="preserve">Das Studienprogramm entspricht den Richtlinien und Prüfungsordnungen der deutschen Partnerhochschulen.
Regelstudienzeit: 4 Jahre (180 Leistungspunkte), bestehend aus 1 Orientierungsjahr (ohne Leistungspunkte) und 6 Fachsemestern (180 Leistungspunkte).
Neue Module im Vertiefungsbereich seit 2024: Internet der Dinge (IoT) und Smart Devices, Einführung in Data Science &amp; KI sowie Wahlpflichtmodul 2.
Bachelor in Informatik mit den Vertiefungsrichtungen: Softwaretechnik, IoT- und mobile Anwendungen, Data Science, KI / Maschinelles Lernen und IT-Sicherheit.
Im Orientierungsjahr absolvieren Studierende Englischkurse und Grundlagenfächer des Studiengangs. Studierende erlernen grundlegende Programmiersprachen wie C und C++, notwendige Mathematik und grundlegende Konzepte der Informatik.
2. Studienjahr: Das Programm konzentriert sich auf Kernfächer wie Datenbanken, Softwaretechnik, Rechnernetze und fortgeschrittene Programmierung mit Java.
3. und 4. Studienjahr: Studierende erforschen neue und spezialisierte Themen der Informatik und nehmen an praxisnahen Modulen wie Projekten, Praktika und der Bachelorarbeit teil, um erworbenes Wissen in der Praxis anzuwenden und das berufliche Umfeld der Branche kennenzulernen.
Auslandssemester: Studierende im letzten Studienjahr haben die Möglichkeit, in Deutschland zu studieren und ihre Abschlussarbeit zu verfassen, gefördert durch ein DAAD-Stipendium oder auf eigene Kosten (selbstfinanziert).</t>
  </si>
  <si>
    <t xml:space="preserve">Quelle: Offizielles VGU-Portal (Gruppe cse-curriculum, Dok. 8f7fe83758d2). Zuletzt verifiziert am 2026-03-01. Gilt für den Jahrgang / das Zulassungsjahr 2026.</t>
  </si>
  <si>
    <t xml:space="preserve">cse_142_entry_requirements_vi</t>
  </si>
  <si>
    <t xml:space="preserve">Yêu cầu đầu vào học thuật và tiếng Anh của ngành Khoa học máy tính (CSE) năm 2026 là gì?</t>
  </si>
  <si>
    <t xml:space="preserve">1. Yêu cầu học thuật: Phụ thuộc vào phương thức dự tuyển
- Điểm chuẩn ngành Khoa học máy tính (CSE) năm 2026: 20.0 điểm theo phương thức xét điểm thi tốt nghiệp THPT (Phương thức 5 - M5) hoặc 90 điểm đối với bài thi TestAS (Phương thức 1 - M1).
- Phương thức xét tuyển: VGU áp dụng 5 phương thức gồm Phương thức 1 (M1): thi TestAS, Phương thức 2 (M2): xét học bạ THPT, Phương thức 3 (M3): tuyển thẳng theo quy chế VGU, Phương thức 4 (M4): chứng chỉ THPT quốc tế và Phương thức 5 (M5): xét điểm thi tốt nghiệp THPT.
2. Yêu cầu tiếng Anh:
- Phải đáp ứng 1 trong các điều kiện sau:
- Chứng chỉ quốc tế: IELTS học thuật ≥5.0 (còn hiệu lực khi nộp hồ sơ) hoặc tương đương (xem Phụ lục 1 Quy chế tuyển sinh VGU).
- Bài thi tiếng Anh của VGU: Đạt kỳ thi bao gồm 4 kỹ năng: nghe, nói, đọc, viết.
- Điểm TB môn tiếng Anh: Ba năm THPT đạt ≥8.0/10 (áp dụng cho Phương thức 2 &amp; 5 [M2 &amp; M5]).
- Các trường hợp miễn yêu cầu tiếng Anh:
- Thí sinh đến từ quốc gia có tiếng Anh là ngôn ngữ chính thức (xem Phụ lục 2).
- Thí sinh tốt nghiệp chương trình THPT quốc tế giảng dạy và đánh giá hoàn toàn bằng tiếng Anh (cần có văn bản xác nhận từ trường).</t>
  </si>
  <si>
    <t xml:space="preserve">Nguồn: Cổng thông tin chính thức VGU (nhóm cse-admissions, mã tài liệu 61ae761c4acf). Xác minh lần cuối ngày 2026-03-01. Áp dụng cho khóa/năm 2026.</t>
  </si>
  <si>
    <t xml:space="preserve">cse_142_entry_requirements</t>
  </si>
  <si>
    <t xml:space="preserve">cse_142_entry_requirements_en</t>
  </si>
  <si>
    <t xml:space="preserve">What are the academic and English entry requirements for Computer Science (CSE) in 2026?</t>
  </si>
  <si>
    <t xml:space="preserve">1. Academic requirements: Depend on the admission method
- Cutoff score for Computer Science (CSE) in 2026: 20.0 points via the national high school graduation exam (Method 5 - M5) or 90 points for the TestAS exam (Method 1 - M1).
- Admission methods: VGU applies 5 methods consisting of Method 1 (M1): TestAS entrance exam, Method 2 (M2): high school academic transcripts, Method 3 (M3): direct admission according to VGU regulations, Method 4 (M4): international high school certificates, and Method 5 (M5): national high school graduation exam results.
2. English requirements:
- Must meet 1 of the following conditions:
- International certificate: Academic IELTS ≥5.0 (valid at the time of application) or equivalent (see Appendix 1 of VGU's admission regulations).
- VGU English test: Pass the test including 4 skills: listening, speaking, reading, writing.
- Average English score: Three years of high school with an average score of ≥8.0/10 (applies to Methods 2 &amp; 5 [M2 &amp; M5]).
- Cases exempt from English requirements:
- Applicants from countries where English is the official language (see Appendix 2).
- Applicants who graduated from an international high school program taught and assessed entirely in English (a confirmation letter from the school is required).</t>
  </si>
  <si>
    <t xml:space="preserve">Source: Official VGU Portal (group cse-admissions, doc cd5b617072c0). Last verified on 2026-03-01. For intake/admission year 2026.</t>
  </si>
  <si>
    <t xml:space="preserve">cse_142_entry_requirements_de</t>
  </si>
  <si>
    <t xml:space="preserve">Welche akademischen und sprachlichen Zulassungsvoraussetzungen gelten 2026 für Informatik (CSE)?</t>
  </si>
  <si>
    <t xml:space="preserve">1. Akademische Voraussetzungen: Abhängig vom jeweiligen Bewerbungsverfahren.
- Zulassungsgrenze für Informatik (CSE) im Jahr 2026: 20.0 Punkte über die nationale THPT-Abiturprüfung (Verfahren 5 - M5) oder 90 Punkte beim TestAS-Test (Verfahren 1 - M1).
- Auswahlverfahren: Die VGU wendet 5 Verfahren an: Verfahren 1 (M1): TestAS-Eingangsprüfung, Verfahren 2 (M2): Überprüfung der gymnasialen Schulzeugnisse (học bạ), Verfahren 3 (M3): Direktzulassung gemäß VGU-Ordnung, Verfahren 4 (M4): internationale Schulabschlüsse und Verfahren 5 (M5): Ergebnisse der nationalen THPT-Abiturprüfung.
2. Sprachliche Voraussetzungen (Englisch):
- Bewerber müssen 1 der folgenden Bedingungen erfüllen:
- Internationales Sprachzertifikat: IELTS akademisch ≥5.0 (gültig zum Bewerbungszeitpunkt) oder ein gleichwertiges Zertifikat (siehe Anhang 1 der VGU-Zulassungsordnung).
- VGU-Englischtest: Bestehen des internen Tests mit den 4 Fertigkeiten Hören, Sprechen, Lesen, Schreiben.
- Gymnasiale Durchschnittsnote Englisch: Mindestens 8.0/10 in den drei Oberstufenjahren (anwendbar für Verfahren 2 und 5 [M2 &amp; M5]).
- Befreiung von den Englischanforderungen:
- Bewerber aus Ländern mit Englisch als Amtssprache (siehe Anhang 2).
- Absolventen internationaler Gymnasien, an denen der Unterricht und die Prüfungen vollständig auf Englisch stattfanden (mit offizieller Bestätigung der Schule).</t>
  </si>
  <si>
    <t xml:space="preserve">Quelle: Offizielles VGU-Portal (Gruppe cse-admissions, Dok. edbb72316bd4). Zuletzt verifiziert am 2026-03-01. Gilt für den Jahrgang / das Zulassungsjahr 2026.</t>
  </si>
  <si>
    <t xml:space="preserve">cse_143_career_prospects_vi</t>
  </si>
  <si>
    <t xml:space="preserve">Triển vọng nghề nghiệp và các vị trí công việc tương lai của sinh viên tốt nghiệp CSE là gì?</t>
  </si>
  <si>
    <t xml:space="preserve">Với bằng cấp được kiểm định chất lượng đào tạo theo tiêu chuẩn Châu Âu, các bạn sinh viên có thể tự tin làm việc tại các công ty CNTT hàng đầu ở Việt Nam và trên thế giới.
Nghề nghiệp tương lai:
- Quản trị mạng và hệ thống thông tin
- Kỹ thuật dữ liệu và Khoa học dữ liệu
- Mạng máy tính và IoT
- Phát triển ứng dụng Web
- An toàn thông tin
- Phát triển phần mềm</t>
  </si>
  <si>
    <t xml:space="preserve">Nguồn: Cổng thông tin chính thức VGU (nhóm cse-careers, mã tài liệu 49ee74de9a73). Xác minh lần cuối ngày 2026-03-01. Nguồn áp dụng cho năm học 2026–2027.</t>
  </si>
  <si>
    <t xml:space="preserve">cse_143_career_prospects</t>
  </si>
  <si>
    <t xml:space="preserve">cse_143_career_prospects_en</t>
  </si>
  <si>
    <t xml:space="preserve">What are the career prospects and future career pathways for CSE graduates?</t>
  </si>
  <si>
    <t xml:space="preserve">With a degree accredited according to European training quality standards, students can work and continue their studies worldwide.
Future career pathways:
- Network and Information Systems Administration
- Data Engineering and Data Science
- Computer Networks and IoT
- Web Application Development
- Information Security
- Software Development</t>
  </si>
  <si>
    <t xml:space="preserve">Source: Official VGU Portal (group cse-careers, doc c274fc56f582). Last verified on 2026-03-01. Applicable to academic year 2026–2027.</t>
  </si>
  <si>
    <t xml:space="preserve">cse_143_career_prospects_de</t>
  </si>
  <si>
    <t xml:space="preserve">Welche Berufsperspektiven und zukünftigen Berufsfelder bieten sich Absolventen der Informatik (CSE)?</t>
  </si>
  <si>
    <t xml:space="preserve">Mit einem nach europäischen Qualitätsstandards akkreditierten Abschluss können Studierende nicht nur im Inland, sondern auch weltweit beruflich tätig werden oder weiterführende Studien aufnehmen.
Zukünftige Berufsfelder:
- Netzwerk- und Informationssystem-Administration
- Datentechnik und Data Science
- Rechnernetze und IoT
- Webanwendungsentwicklung
- Informationssicherheit
- Softwareentwicklung</t>
  </si>
  <si>
    <t xml:space="preserve">Quelle: Offizielles VGU-Portal (Gruppe cse-careers, Dok. 597d289a4e31). Zuletzt verifiziert am 2026-03-01. Gültig für das Studienjahr 2026–2027.</t>
  </si>
  <si>
    <t xml:space="preserve">cse_144_program_partners_overview_vi</t>
  </si>
  <si>
    <t xml:space="preserve">Tổng quan chương trình Khoa học máy tính (CSE) tại VGU và các trường đại học đối tác Đức là gì?</t>
  </si>
  <si>
    <t xml:space="preserve">Chương trình Khoa học máy tính (CSE) tại VGU hợp tác với Đại học Khoa học Ứng dụng Frankfurt/Main, TH Köln (Đại học Khoa học Ứng dụng Cologne), và Đại học Khoa học Ứng dụng Bonn-Rhein-Sieg tại CHLB Đức.
Khoa học máy tính là một trong những lĩnh vực phát triển nhanh nhất hiện nay, bao gồm lập trình, kỹ thuật phần mềm, cơ sở dữ liệu và mạng máy tính. Học CSE giúp bạn phát triển kỹ năng tư duy phản biện và giải quyết vấn đề, cho phép bạn tạo ra các giải pháp sáng tạo về khoa học máy tính trong nhiều ngành khác nhau từ lĩnh vực công nghiệp đến y tế, kinh doanh và không giới hạn.
Tại Trường Đại học Việt-Đức (VGU), chương trình Cử nhân Khoa học Máy tính (CSE) được thiết kế để sinh viên không chỉ nắm vững kiến thức mà còn sẵn sàng áp dụng vào thực tiễn ngay sau khi tốt nghiệp. Chương trình học kết hợp chặt chẽ giữa lý thuyết và thực hành theo tiêu chuẩn quốc tế, qua đó trang bị cho sinh viên những kỹ năng cần thiết để thành công trong lĩnh vực công nghệ trên toàn cầu.</t>
  </si>
  <si>
    <t xml:space="preserve">Nguồn: Cổng thông tin chính thức VGU (nhóm cse-overview, mã tài liệu e042eeb5506b). Xác minh lần cuối ngày 2026-03-01. Nguồn áp dụng cho năm học 2026–2027.</t>
  </si>
  <si>
    <t xml:space="preserve">cse_144_program_partners_overview</t>
  </si>
  <si>
    <t xml:space="preserve">cse_144_program_partners_overview_en</t>
  </si>
  <si>
    <t xml:space="preserve">What is the overview of the Computer Science (CSE) program at VGU and its German partner universities?</t>
  </si>
  <si>
    <t xml:space="preserve">The Computer Science (CSE) program at VGU is offered in cooperation with Frankfurt University of Applied Sciences, TH Köln (Cologne University of Applied Sciences), and Bonn-Rhein-Sieg University of Applied Sciences in Germany.
Computer Science is one of the fastest-growing fields today, including programming, software engineering, databases, and computer networks. Studying CSE helps you develop critical thinking and problem-solving skills, enabling you to create innovative computer science solutions in various industries, from healthcare to business and beyond.
At the Vietnamese-German University (VGU), the Bachelor's program in Computer Science (CSE) is designed to equip students with not only knowledge but also readiness to apply it in practice immediately upon graduation. The curriculum closely combines theory and practice according to international standards, providing students with the necessary skills to succeed in the technology field globally.</t>
  </si>
  <si>
    <t xml:space="preserve">Source: Official VGU Portal (group cse-overview, doc 252c9b187edb). Last verified on 2026-03-01. Applicable to academic year 2026–2027.</t>
  </si>
  <si>
    <t xml:space="preserve">cse_144_program_partners_overview_de</t>
  </si>
  <si>
    <t xml:space="preserve">Wie sieht der Studienüberblick für Informatik (CSE) an der VGU und die Kooperation mit deutschen Partnerhochschulen aus?</t>
  </si>
  <si>
    <t xml:space="preserve">Der Studiengang Informatik (CSE) an der VGU wird in Kooperation mit der Frankfurt University of Applied Sciences, der TH Köln (Cologne University of Applied Sciences) und der Hochschule Bonn-Rhein-Sieg in Deutschland angeboten.
Informatik umfasst Kernbereiche wie Programmierung, Software Engineering, Datenbanksysteme und Rechnernetze. Das Studium fördert kritisches Denken und Problemlösungskompetenz für innovative Lösungen in verschiedenen Branchen von Industrie bis hin zu Medizin und Wirtschaft.
An der Vietnamesisch-Deutschen Universität (VGU) ist das Bachelorstudium in Informatik (CSE) so konzipiert, dass Studierende nicht nur theoretisches Wissen beherrschen, sondern dieses unmittelbar nach dem Abschluss in der Praxis anwenden können. Der Studienplan verknüpft Theorie und Praxis nach internationalen Standards eng miteinander und vermittelt Studierenden die notwendigen Fähigkeiten, um weltweit im Technologiesektor erfolgreich zu sein.</t>
  </si>
  <si>
    <t xml:space="preserve">Quelle: Offizielles VGU-Portal (Gruppe cse-overview, Dok. 0c88cbaae827). Zuletzt verifiziert am 2026-03-01. Gültig für das Studienjahr 2026–2027.</t>
  </si>
  <si>
    <t xml:space="preserve">cse_145_tuition_and_fees_vi</t>
  </si>
  <si>
    <t xml:space="preserve">Mức học phí và các khoản phí đào tạo đối tác Đức của ngành CSE là bao nhiêu?</t>
  </si>
  <si>
    <t xml:space="preserve">Mức học phí áp dụng cho sinh viên ngành Khoa học máy tính (CSE):
- Học phí cho sinh viên Việt Nam: 43.700.000 VND/học kỳ.
- Học phí cho sinh viên quốc tế: 65.550.000 VND/học kỳ.
- Phí đào tạo trường đối tác Đức: 560 EUR/sinh viên nộp trong thời gian học chuyên ngành.
- Mức học phí mỗi học kỳ không đổi trong toàn bộ thời gian đào tạo tiêu chuẩn 4 năm (8 học kỳ).</t>
  </si>
  <si>
    <t xml:space="preserve">Nguồn: Cổng thông tin chính thức VGU (nhóm cse-tuition, mã tài liệu 8454e0e7891b). Xác minh lần cuối ngày 2026-03-01. Áp dụng cho khóa/năm 2026.</t>
  </si>
  <si>
    <t xml:space="preserve">cse_145_tuition_and_fees</t>
  </si>
  <si>
    <t xml:space="preserve">cse_145_tuition_and_fees_en</t>
  </si>
  <si>
    <t xml:space="preserve">What are the tuition fees and German partner university training fees for CSE students?</t>
  </si>
  <si>
    <t xml:space="preserve">Tuition fees applicable for Computer Science (CSE) students:
- Tuition fee for Vietnamese students: 43.700.000 VND/semester.
- Tuition fee for international students: 65.550.000 VND/semester.
- German partner university training fee: 560 EUR/student paid during the specialization phase.
- The tuition fee per semester remains unchanged throughout the standard 4-year (8-semester) study duration.</t>
  </si>
  <si>
    <t xml:space="preserve">Source: Official VGU Portal (group cse-tuition, doc 3072df172f77). Last verified on 2026-03-01. For intake/admission year 2026.</t>
  </si>
  <si>
    <t xml:space="preserve">cse_145_tuition_and_fees_de</t>
  </si>
  <si>
    <t xml:space="preserve">Wie hoch sind die Studiengebühren und der Beitrag für die deutsche Partnerhochschule im Studiengang CSE?</t>
  </si>
  <si>
    <t xml:space="preserve">Studiengebühren für Studierende des Studiengangs Informatik (CSE):
- Studiengebühr für vietnamesische Studierende: 43.700.000 VND/Semester.
- Studiengebühr für internationale Studierende: 65.550.000 VND/Semester.
- Ausbildungsgebühr der deutschen Partnerhochschule: 560 EUR/Studierender während des Fachstudiums.
- Der Studienbeitrag pro Semester bleibt während der gesamten Regelstudienzeit von 4 Jahren (8 Semestern) unverändert.</t>
  </si>
  <si>
    <t xml:space="preserve">Quelle: Offizielles VGU-Portal (Gruppe cse-tuition, Dok. 146e7aa90624). Zuletzt verifiziert am 2026-03-01. Gilt für den Jahrgang / das Zulassungsjahr 2026.</t>
  </si>
  <si>
    <t xml:space="preserve">cse_146_admission_deadlines_2026_vi</t>
  </si>
  <si>
    <t xml:space="preserve">Lịch trình và thời hạn nộp hồ sơ tuyển sinh ngành Khoa học máy tính (CSE) năm 2026 như thế nào?</t>
  </si>
  <si>
    <t xml:space="preserve">Lịch trình và thời hạn nhận hồ sơ tuyển sinh đại học chính quy ngành Khoa học máy tính:
- Đợt 1 (Phương thức thi tuyển TestAS - M1): Hạn nộp hồ sơ ngày 15/03/2026. Kỳ thi TestAS diễn ra vào tháng 05/2026.
- Đợt 2 (Phương thức xét học bạ THPT - M2): Hạn nộp hồ sơ ngày 31/05/2026.
- Đợt 3 (Phương thức xét điểm thi tốt nghiệp THPT - M5): Đăng ký và nộp hồ sơ theo cổng thông tin tuyển sinh chung của Bộ Giáo dục và Đào tạo, hạn chót ngày 31/07/2026.
- Thí sinh nộp hồ sơ trực tuyến qua hệ thống tuyển sinh điện tử của trường.</t>
  </si>
  <si>
    <t xml:space="preserve">https://tuyensinh.vgu.edu.vn/lich-tuyen-sinh</t>
  </si>
  <si>
    <t xml:space="preserve">Nguồn: Cổng thông tin chính thức VGU (nhóm cse-deadlines, mã tài liệu 113f7b07f623). Xác minh lần cuối ngày 2026-03-01. Áp dụng cho khóa/năm 2026.</t>
  </si>
  <si>
    <t xml:space="preserve">cse_146_admission_deadlines_2026</t>
  </si>
  <si>
    <t xml:space="preserve">cse_146_admission_deadlines_2026_en</t>
  </si>
  <si>
    <t xml:space="preserve">What are the schedule and application deadlines for CSE undergraduate admissions in 2026?</t>
  </si>
  <si>
    <t xml:space="preserve">Schedule and application deadlines for undergraduate admissions in Computer Science:
- Round 1 (TestAS Entrance Exam - M1): Application deadline 15/03/2026. TestAS exam takes place in 05/2026.
- Round 2 (High School Transcript Review - M2): Application deadline 31/05/2026.
- Round 3 (High School Graduation Exam Results - M5): Register and apply via the Ministry of Education and Training portal, deadline 31/07/2026.
- Applicants submit online applications via the university admissions portal.</t>
  </si>
  <si>
    <t xml:space="preserve">https://tuyensinh.vgu.edu.vn/en/admissions-calendar</t>
  </si>
  <si>
    <t xml:space="preserve">Source: Official VGU Portal (group cse-deadlines, doc 3038c74de460). Last verified on 2026-03-01. For intake/admission year 2026.</t>
  </si>
  <si>
    <t xml:space="preserve">cse_146_admission_deadlines_2026_de</t>
  </si>
  <si>
    <t xml:space="preserve">Wie lauten der Zeitplan und die Bewerbungsfristen 2026 für das Bachelorstudium Informatik (CSE)?</t>
  </si>
  <si>
    <t xml:space="preserve">Zeitplan und Bewerbungsfristen für das Bachelorstudium Informatik:
- Runde 1 (TestAS-Eingangsprüfung - M1): Bewerbungsschluss am 15/03/2026. Die TestAS-Prüfung findet im 05/2026 statt.
- Runde 2 (Gymnasiale Schulzeugnisse - M2): Bewerbungsschluss am 31/05/2026.
- Runde 3 (Nationale THPT-Abiturprüfung - M5): Anmeldung und Bewerbung über das Portal des Bildungsministeriums, Frist 31/07/2026.
- Bewerber reichen ihre Unterlagen online über das elektronische Bewerbungsportal der Universität ein.</t>
  </si>
  <si>
    <t xml:space="preserve">https://vgu.edu.vn/de/zulassungsfristen</t>
  </si>
  <si>
    <t xml:space="preserve">Quelle: Offizielles VGU-Portal (Gruppe cse-deadlines, Dok. 6b5c4ce30bc5). Zuletzt verifiziert am 2026-03-01. Gilt für den Jahrgang / das Zulassungsjahr 2026.</t>
  </si>
  <si>
    <t xml:space="preserve">cse_147_scholarship_policy_vi</t>
  </si>
  <si>
    <t xml:space="preserve">Chính sách học bổng tài năng, học bổng DAAD và học bổng duy trì dành cho sinh viên CSE như thế nào?</t>
  </si>
  <si>
    <t xml:space="preserve">Trường Đại học Việt-Đức cấp nhiều chương trình học bổng giá trị cho sinh viên ngành Khoa học máy tính (CSE):
- Học bổng tài năng VGU: Miễn giảm 100%, 50% hoặc 30% học phí năm thứ 1 cho các thí sinh có thành tích tuyển sinh đầu vào xuất sắc nhất theo từng phương thức.
- Học bổng DAAD học kỳ tại Đức: Cơ quan Trao đổi Hàn lâm Đức (DAAD) tài trợ học bổng toàn phần hoặc bán phần cho sinh viên năm cuối sang Đức học tập 1 học kỳ và thực hiện luận văn tốt nghiệp.
- Học bổng duy trì học tập: Xét cấp từ năm thứ 2 dựa trên kết quả rèn luyện và GPA học tập xuất sắc của sinh viên.</t>
  </si>
  <si>
    <t xml:space="preserve">https://vgu.edu.vn/vi/hoc-bong</t>
  </si>
  <si>
    <t xml:space="preserve">Nguồn: Cổng thông tin chính thức VGU (nhóm cse-scholarships, mã tài liệu 71342f98a6cb). Xác minh lần cuối ngày 2026-03-01. Áp dụng cho khóa/năm 2026.</t>
  </si>
  <si>
    <t xml:space="preserve">cse_147_scholarship_policy</t>
  </si>
  <si>
    <t xml:space="preserve">cse_147_scholarship_policy_en</t>
  </si>
  <si>
    <t xml:space="preserve">What scholarship policies (VGU Talent, DAAD, and Merit Maintenance) are available for CSE students?</t>
  </si>
  <si>
    <t xml:space="preserve">Vietnamese-German University provides valuable scholarship programs for Computer Science (CSE) students:
- VGU Talent Scholarship: 100%, 50%, or 30% tuition reduction for the 1st year awarded to outstanding admitted applicants under each admission method.
- DAAD Scholarship for Semester in Germany: German Academic Exchange Service (DAAD) funds full or partial scholarships for final-year students to study 1 semester and write their graduation thesis in Germany.
- Merit Maintenance Scholarship: Awarded from year 2 based on student academic GPA and conduct performance.</t>
  </si>
  <si>
    <t xml:space="preserve">https://vgu.edu.vn/en/scholarships</t>
  </si>
  <si>
    <t xml:space="preserve">Source: Official VGU Portal (group cse-scholarships, doc 25fabe0db87b). Last verified on 2026-03-01. For intake/admission year 2026.</t>
  </si>
  <si>
    <t xml:space="preserve">cse_147_scholarship_policy_de</t>
  </si>
  <si>
    <t xml:space="preserve">Welche Stipendienprogramme (VGU-Begabtenstipendium, DAAD-Stipendium und Leistungsstipendium) gibt es für CSE-Studierende?</t>
  </si>
  <si>
    <t xml:space="preserve">Die Vietnamesisch-Deutsche Universität vergibt attraktive Stipendien für Studierende der Informatik (CSE):
- VGU-Begabtenstipendium: Erlass von 100%, 50% oder 30% der Studiengebühren des 1. Studienjahres für die besten Bewerber jedes Auswahlverfahrens.
- DAAD-Stipendium für Auslandssemester in Deutschland: Der Deutsche Akademische Austauschdienst (DAAD) fördert Voll- und Teilstipendien für Studierende im letzten Studienjahr für 1 Semester und die Bachelorarbeit in Deutschland.
- Leistungsstipendium zur Studienfortführung: Vergabe ab dem 2. Studienjahr basierend auf akademischer Notenleistung (GPA) und studentischem Engagement.</t>
  </si>
  <si>
    <t xml:space="preserve">https://vgu.edu.vn/de/stipendien</t>
  </si>
  <si>
    <t xml:space="preserve">Quelle: Offizielles VGU-Portal (Gruppe cse-scholarships, Dok. 4eed29bdeffe). Zuletzt verifiziert am 2026-03-01. Gilt für den Jahrgang / das Zulassungsjahr 2026.</t>
  </si>
  <si>
    <t xml:space="preserve">cse_148_module_directory_vi</t>
  </si>
  <si>
    <t xml:space="preserve">Danh mục học phần ngành Khoa học máy tính (CSE) được phân bổ qua 4 năm học như thế nào?</t>
  </si>
  <si>
    <t xml:space="preserve">Chương trình đào tạo Cử nhân Khoa học máy tính (CSE) gồm 180 tín chỉ tiêu chuẩn với cấu trúc phân bổ 4 năm:
- Năm 1 (Năm đại cương): Tiếng Anh học thuật, Nhập môn lập trình C và C++, Toán giải tích, Đại số tuyến tính, và Toán rời rạc.
- Năm 2: Cơ sở dữ liệu, Cấu trúc dữ liệu và giải thuật, Kỹ thuật phần mềm, Mạng máy tính, Lập trình hướng đối tượng với Java, và Kiến trúc máy tính.
- Năm 3: IoT và Thiết bị thông minh, Trí tuệ nhân tạo và Máy học, Hệ điều hành nâng cao, An ninh mạng, cùng các môn tự chọn chuyên sâu.
- Năm 4: Dự án thực tế doanh nghiệp, Kỳ thực tập công nghiệp tại doanh nghiệp công nghệ, và Khóa luận tốt nghiệp cử nhân.</t>
  </si>
  <si>
    <t xml:space="preserve">https://vgu.edu.vn/vi/chuong-trinh-dao-tao/khoa-hoc-may-tinh/khung-chuong-trinh</t>
  </si>
  <si>
    <t xml:space="preserve">Nguồn: Cổng thông tin chính thức VGU (nhóm cse-module-list, mã tài liệu d279fcaacf66). Xác minh lần cuối ngày 2026-03-01. Nguồn áp dụng cho năm học 2026–2027.</t>
  </si>
  <si>
    <t xml:space="preserve">cse_148_module_directory</t>
  </si>
  <si>
    <t xml:space="preserve">cse_148_module_directory_en</t>
  </si>
  <si>
    <t xml:space="preserve">How are the curriculum and module directory structured across the 4 years of the CSE program?</t>
  </si>
  <si>
    <t xml:space="preserve">The Bachelor of Computer Science (CSE) program comprises 180 standard credits structured across 4 years:
- Year 1 (Foundation Year): Academic English, Introduction to Programming with C and C++, Calculus, Linear Algebra, and Discrete Mathematics.
- Year 2: Databases, Data Structures and Algorithms, Software Engineering, Computer Networks, Object-Oriented Programming with Java, and Computer Architecture.
- Year 3: IoT and Smart Devices, Artificial Intelligence and Machine Learning, Advanced Operating Systems, Cybersecurity, along with specialized elective courses.
- Year 4: Enterprise Real-world Project, Industrial Internship at technology enterprises, and Bachelor Graduation Thesis.</t>
  </si>
  <si>
    <t xml:space="preserve">https://vgu.edu.vn/en/curriculum/computer-science</t>
  </si>
  <si>
    <t xml:space="preserve">Source: Official VGU Portal (group cse-module-list, doc d95f77cebb52). Last verified on 2026-03-01. Applicable to academic year 2026–2027.</t>
  </si>
  <si>
    <t xml:space="preserve">cse_148_module_directory_de</t>
  </si>
  <si>
    <t xml:space="preserve">Wie sind das Modulhandbuch und der Studienverlauf über die 4 Studienjahre in Informatik (CSE) gegliedert?</t>
  </si>
  <si>
    <t xml:space="preserve">Der Studiengang Bachelor in Informatik (CSE) umfasst 180 Standard-Leistungspunkte verteilt auf 4 Studienjahre:
- 1. Studienjahr (Orientierungsjahr): Akademisches Englisch, Einführung in die Programmierung mit C und C++, Analysis, Lineare Algebra und Diskrete Mathematik.
- 2. Studienjahr: Datenbanksysteme, Datenstrukturen und Algorithmen, Softwaretechnik, Rechnernetze, Objektorientierte Programmierung mit Java und Rechnerarchitektur.
- 3. Studienjahr: Internet der Dinge (IoT) und Smart Devices, Künstliche Intelligenz und Maschinelles Lernen, Fortgeschrittene Betriebssysteme, IT-Sicherheit sowie vertiefende Wahlpflichtmodule.
- 4. Studienjahr: Unternehmensprojekt, Industriepraktikum in Technologieunternehmen und Bachelorarbeit.</t>
  </si>
  <si>
    <t xml:space="preserve">https://vgu.edu.vn/de/studienplan/informatik</t>
  </si>
  <si>
    <t xml:space="preserve">Quelle: Offizielles VGU-Portal (Gruppe cse-module-list, Dok. b061221932ca). Zuletzt verifiziert am 2026-03-01. Gültig für das Studienjahr 2026–2027.</t>
  </si>
  <si>
    <t xml:space="preserve">cse_149_dormitory_and_campus_vi</t>
  </si>
  <si>
    <t xml:space="preserve">Điều kiện ký túc xá, chi phí lưu trú và tiện ích khuôn viên tại VGU như thế nào?</t>
  </si>
  <si>
    <t xml:space="preserve">Khuôn viên trường và ký túc xá sinh viên VGU tại Bến Cát, Bình Dương được xây dựng theo tiêu chuẩn quốc tế:
- Ký túc xá hiện đại nằm ngay trong khuôn viên trường với số lượng phòng phục vụ sinh viên và học viên có nhu cầu.
- Loại phòng: Phòng 2 người và phòng 4 người được trang bị đầy đủ máy lạnh, bình nóng lạnh, bàn học và kết nối internet Wi-Fi tốc độ cao.
- Chi phí ký túc xá: Mức phí lưu trú là 1.200.000 VND/tháng cho phòng cơ bản 2 người có máy lạnh.
- Tiện ích khuôn viên: Khu liên hợp thể thao trong nhà và ngoài trời (sân bóng đá, bóng rổ, cầu lông, hồ bơi), thư viện hiện đại 5 tầng, căn tin phục vụ đa dạng các món ăn hợp vệ sinh.</t>
  </si>
  <si>
    <t xml:space="preserve">Nguồn: Cổng thông tin chính thức VGU (nhóm cse-dorms-campus, mã tài liệu 384c0c81b603). Xác minh lần cuối ngày 2026-03-01. Nguồn áp dụng cho năm học 2026–2027.</t>
  </si>
  <si>
    <t xml:space="preserve">cse_149_dormitory_and_campus</t>
  </si>
  <si>
    <t xml:space="preserve">cse_149_dormitory_and_campus_en</t>
  </si>
  <si>
    <t xml:space="preserve">What are the dormitory room types, accommodation fees, and campus facilities at VGU?</t>
  </si>
  <si>
    <t xml:space="preserve">The VGU campus and student dormitories in Ben Cat, Binh Duong are built to international standards:
- Modern on-campus dormitory accommodating registered students with limited available rooms.
- Room types: 2-person and 4-person rooms equipped with air conditioning, water heater, study desks, and high-speed Wi-Fi internet.
- Dormitory accommodation fee: 1.200.000 VND/month for a standard 2-person room with air conditioning.
- Campus facilities: Indoor and outdoor sports complex (soccer, basketball, badminton, swimming pool), 5-floor modern library, and canteen offering hygienic meal options.</t>
  </si>
  <si>
    <t xml:space="preserve">Source: Official VGU Portal (group cse-dorms-campus, doc 640b0511086d). Last verified on 2026-03-01. Applicable to academic year 2026–2027.</t>
  </si>
  <si>
    <t xml:space="preserve">cse_149_dormitory_and_campus_de</t>
  </si>
  <si>
    <t xml:space="preserve">Welche Zimmertypen, Wohnheimgebühren und Campuseinrichtungen gibt es an der VGU?</t>
  </si>
  <si>
    <t xml:space="preserve">Der VGU-Campus und die Wohnheime in Ben Cat, Binh Duong wurden nach internationalen Standards errichtet:
- Moderne Wohnheime direkt auf dem Campus mit begrenzter Zimmerkapazität für eingeschriebene Studierende.
- Zimmertypen: 2-Bett- und 4-Bett-Zimmer mit Klimaanlage, Warmwasserbereiter, Schreibtischen und schnellem WLAN.
- Wohnheimgebühren: Die Unterbringungskosten betragen 1.200.000 VND/Monat für ein klimatisiertes Standard-2-Bett-Zimmer.
- Campuseinrichtungen: Indoor- und Outdoor-Sportkomplex (Fußball, Basketball, Badminton, Schwimmbad), moderne 5-stöckige Bibliothek und Mensa.</t>
  </si>
  <si>
    <t xml:space="preserve">Quelle: Offizielles VGU-Portal (Gruppe cse-dorms-campus, Dok. 76f3c332df0a). Zuletzt verifiziert am 2026-03-01. Gültig für das Studienjahr 2026–2027.</t>
  </si>
  <si>
    <t xml:space="preserve">cse_150_admissions_contact_vi</t>
  </si>
  <si>
    <t xml:space="preserve">Thông tin liên hệ trực tiếp (địa chỉ, hotline, email, cổng trực tuyến) của Văn phòng Tuyển sinh VGU là gì?</t>
  </si>
  <si>
    <t xml:space="preserve">Thí sinh và phụ huynh quan tâm đến ngành Khoa học máy tính (CSE) có thể liên hệ trực tiếp với Phòng Tuyển sinh VGU:
- Địa chỉ: Phòng Tuyển sinh, Tòa nhà Hành chính, Trường Đại học Việt-Đức, Đường Vành Đai 4, Khu phố 4, Phường Thới Hòa, Thành phố Bến Cát, Tỉnh Bình Dương.
- Đường dây nóng tư vấn tuyển sinh (Hotline): 0988 54 52 54 hoặc (0274) 222 0990.
- Địa chỉ thư điện tử (Email): study@vgu.edu.vn.
- Cổng nộp hồ sơ trực tuyến: https://apply.vgu.edu.vn.</t>
  </si>
  <si>
    <t xml:space="preserve">https://tuyensinh.vgu.edu.vn/lien-he</t>
  </si>
  <si>
    <t xml:space="preserve">Nguồn: Cổng thông tin chính thức VGU (nhóm cse-contact, mã tài liệu ded6ac84ac53). Xác minh lần cuối ngày 2026-03-01. Nguồn áp dụng cho năm học 2026–2027.</t>
  </si>
  <si>
    <t xml:space="preserve">cse_150_admissions_contact</t>
  </si>
  <si>
    <t xml:space="preserve">cse_150_admissions_contact_en</t>
  </si>
  <si>
    <t xml:space="preserve">What is the contact information (address, hotline, email, online portal) for the VGU Admissions Office?</t>
  </si>
  <si>
    <t xml:space="preserve">Applicants and parents interested in Computer Science (CSE) can directly contact the VGU Admissions Office:
- Address: Admissions Office, Administrative Building, Vietnamese-German University, Ring Road 4, Quarter 4, Thoi Hoa Ward, Ben Cat City, Binh Duong Province.
- Admissions Consultation Hotline: 0988 54 52 54 or (0274) 222 0990.
- Electronic mail address (Email): study@vgu.edu.vn.
- Online application submission portal: https://apply.vgu.edu.vn.</t>
  </si>
  <si>
    <t xml:space="preserve">https://tuyensinh.vgu.edu.vn/en/contact</t>
  </si>
  <si>
    <t xml:space="preserve">Source: Official VGU Portal (group cse-contact, doc 7fb458a8633b). Last verified on 2026-03-01. Applicable to academic year 2026–2027.</t>
  </si>
  <si>
    <t xml:space="preserve">cse_150_admissions_contact_de</t>
  </si>
  <si>
    <t xml:space="preserve">Wie lauten die Kontaktdaten (Anschrift, Hotline, E-Mail, Online-Portal) der VGU-Zulassungsstelle?</t>
  </si>
  <si>
    <t xml:space="preserve">Studieninteressierte und Eltern mit Interesse an Informatik (CSE) können sich direkt an das VGU-Zulassungsbüro wenden:
- Anschrift: Zulassungsbüro, Verwaltungsgebäude, Vietnamesisch-Deutsche Universität, Ringstraße 4, Viertel 4, Bezirk Thoi Hoa, Stadt Ben Cat, Provinz Binh Duong.
- Zulassungshotline: 0988 54 52 54 oder (0274) 222 0990.
- E-Mail-Adresse: study@vgu.edu.vn.
- Online-Bewerbungsportal: https://apply.vgu.edu.vn.</t>
  </si>
  <si>
    <t xml:space="preserve">https://vgu.edu.vn/de/kontakt-zulassung</t>
  </si>
  <si>
    <t xml:space="preserve">Quelle: Offizielles VGU-Portal (Gruppe cse-contact, Dok. 0c9ec30c64ec). Zuletzt verifiziert am 2026-03-01. Gültig für das Studienjahr 2026–2027.</t>
  </si>
  <si>
    <t xml:space="preserve">cse_151_application_steps_vi</t>
  </si>
  <si>
    <t xml:space="preserve">Quy trình 4 bước nộp hồ sơ xét tuyển và xác nhận nhập học ngành CSE diễn ra như thế nào?</t>
  </si>
  <si>
    <t xml:space="preserve">Quy trình nộp hồ sơ và xác nhận nhập học đại học chính quy ngành Khoa học máy tính (CSE) gồm 4 bước:
- Bước 1 (Đăng ký tài khoản trực tuyến): Thí sinh tạo tài khoản và điền thông tin đăng ký xét tuyển tại cổng trực tuyến https://apply.vgu.edu.vn.
- Bước 2 (Nộp hồ sơ minh chứng): Tải lên bản chụp học bạ THPT, chứng chỉ tiếng Anh (IELTS Academic ≥ 5.0 hoặc chứng chỉ V-ETEST đạt ≥ 75/100 điểm) và căn cước công dân.
- Bước 3 (Tham gia đánh giá năng lực): Thí sinh tham gia kỳ thi TestAS hoặc nộp kết quả kỳ thi tốt nghiệp THPT theo phương thức đã chọn.
- Bước 4 (Thông báo và xác nhận nhập học): Thí sinh trúng tuyển nhận Thông báo trúng tuyển trước 17 giờ 00 ngày 13/8/2026 và thực hiện xác nhận nhập học trên Cổng thông tin của Bộ GD&amp;ĐT trước 17 giờ 00 ngày 21/8/2026.</t>
  </si>
  <si>
    <t xml:space="preserve">https://tuyensinh.vgu.edu.vn/quy-trinh-ung-tuyen</t>
  </si>
  <si>
    <t xml:space="preserve">Nguồn: Cổng thông tin chính thức VGU (nhóm cse-application-steps, mã tài liệu 5b0f63d8f9bb). Xác minh lần cuối ngày 2026-03-01. Áp dụng cho khóa/năm 2026.</t>
  </si>
  <si>
    <t xml:space="preserve">cse_151_application_steps</t>
  </si>
  <si>
    <t xml:space="preserve">cse_151_application_steps_en</t>
  </si>
  <si>
    <t xml:space="preserve">What are the 4 steps in the application and enrollment confirmation procedure for CSE?</t>
  </si>
  <si>
    <t xml:space="preserve">The application and enrollment confirmation process for Computer Science (CSE) comprises 4 steps:
- Step 1 (Online Account Registration): Applicants create an account and fill out application forms at https://apply.vgu.edu.vn.
- Step 2 (Document Submission): Upload scanned transcripts, English certificates (Academic IELTS ≥ 5.0 or V-ETEST score ≥ 75/100 points), and citizen identification.
- Step 3 (Aptitude Assessment): Applicants sit for the TestAS exam or submit high school graduation exam results according to their chosen method.
- Step 4 (Notification and Confirmation): Admitted applicants receive admission notices before 17:00 on 13/8/2026 and confirm enrollment on the Ministry portal before 17:00 on 21/8/2026.</t>
  </si>
  <si>
    <t xml:space="preserve">https://tuyensinh.vgu.edu.vn/en/application-steps</t>
  </si>
  <si>
    <t xml:space="preserve">Source: Official VGU Portal (group cse-application-steps, doc f71996ab3063). Last verified on 2026-03-01. For intake/admission year 2026.</t>
  </si>
  <si>
    <t xml:space="preserve">cse_151_application_steps_de</t>
  </si>
  <si>
    <t xml:space="preserve">Welche 4 Schritte umfasst der Bewerbungs- und Einschreibungsprozess für den Studiengang Informatik (CSE)?</t>
  </si>
  <si>
    <t xml:space="preserve">Der Bewerbungs- und Einschreibungsprozess für den Studiengang Informatik (CSE) gliedert sich in 4 Schritte:
- Schritt 1 (Online-Registrierung): Bewerber erstellen ein Benutzerkonto und füllen das Bewerbungsformular auf https://apply.vgu.edu.vn aus.
- Schritt 2 (Einreichung von Nachweisen): Hochladen von Schulzeugnissen, Sprachzertifikaten (IELTS Academic ≥ 5.0 oder V-ETEST-Ergebnis ≥ 75/100 Punkten) und Personalausweis.
- Schritt 3 (Eignungsfeststellung): Teilnahme am TestAS oder Nachweis des Abiturergebnisses entsprechend dem gewählten Zulassungsverfahren.
- Schritt 4 (Zulassungsbescheid und Bestätigung): Zugelassene Bewerber erhalten den Zulassungsbescheid vor 17:00 Uhr am 13/8/2026 und bestätigen die Immatrikulation im Portal des Ministeriums vor 17:00 Uhr am 21/8/2026.</t>
  </si>
  <si>
    <t xml:space="preserve">https://vgu.edu.vn/de/bewerbungsschritte</t>
  </si>
  <si>
    <t xml:space="preserve">Quelle: Offizielles VGU-Portal (Gruppe cse-application-steps, Dok. 3a35867b4146). Zuletzt verifiziert am 2026-03-01. Gilt für den Jahrgang / das Zulassungsjahr 2026.</t>
  </si>
  <si>
    <t xml:space="preserve">cse_152_graduation_requirements_vi</t>
  </si>
  <si>
    <t xml:space="preserve">Điều kiện và chuẩn đầu ra để được công nhận tốt nghiệp Cử nhân Khoa học máy tính (CSE) là gì?</t>
  </si>
  <si>
    <t xml:space="preserve">Để được công nhận tốt nghiệp Cử nhân Khoa học máy tính (CSE), sinh viên phải hoàn thành các điều kiện chuẩn:
- Tích lũy tối thiểu 180 tín chỉ tiêu chuẩn Châu Âu (ECTS) trong 4 năm (8 học kỳ).
- Hoàn thành đầy đủ các học phần cơ sở ngành, chuyên ngành cốt lõi và các môn tự chọn bắt buộc.
- Hoàn thành kỳ thực tập công nghiệp tại doanh nghiệp và bảo vệ thành công Khóa luận tốt nghiệp cử nhân.
- Đạt chuẩn trình độ tiếng Anh đầu ra tối thiểu tương đương IELTS 6.0 theo quy định đào tạo.
- Bằng cấp được trao: Bằng Cử nhân Khoa học Máy tính do Trường Đại học Việt-Đức và các trường đại học đối tác Đức cấp bằng.</t>
  </si>
  <si>
    <t xml:space="preserve">https://vgu.edu.vn/vi/chuan-dau-ra/khoa-hoc-may-tinh</t>
  </si>
  <si>
    <t xml:space="preserve">Nguồn: Cổng thông tin chính thức VGU (nhóm cse-graduation, mã tài liệu ebac3bf19cb9). Xác minh lần cuối ngày 2026-03-01. Nguồn áp dụng cho năm học 2026–2027.</t>
  </si>
  <si>
    <t xml:space="preserve">cse_152_graduation_requirements</t>
  </si>
  <si>
    <t xml:space="preserve">cse_152_graduation_requirements_en</t>
  </si>
  <si>
    <t xml:space="preserve">What are the graduation requirements and exit standards for the Bachelor of Computer Science (CSE)?</t>
  </si>
  <si>
    <t xml:space="preserve">To qualify for graduation with a Bachelor of Computer Science (CSE), students must fulfill standard conditions:
- Accumulate a minimum of 180 European credit transfer system (ECTS) credits across 4 years (8 semesters).
- Successfully complete all foundation, core specialization, and mandatory elective modules.
- Complete the industrial enterprise internship and successfully defend the Bachelor Thesis.
- Satisfy the minimum exit English proficiency requirement equivalent to IELTS 6.0 under academic regulations.
- Degree awarded: Bachelor of Science in Computer Science conferred jointly by Vietnamese-German University and German partner universities.</t>
  </si>
  <si>
    <t xml:space="preserve">https://vgu.edu.vn/en/exit-standards/computer-science</t>
  </si>
  <si>
    <t xml:space="preserve">Source: Official VGU Portal (group cse-graduation, doc 0212a13afedc). Last verified on 2026-03-01. Applicable to academic year 2026–2027.</t>
  </si>
  <si>
    <t xml:space="preserve">cse_152_graduation_requirements_de</t>
  </si>
  <si>
    <t xml:space="preserve">Welche Abschlussvoraussetzungen und Kriterien gelten für den erfolgreichen Studienabschluss in Informatik (CSE)?</t>
  </si>
  <si>
    <t xml:space="preserve">Für den erfolgreichen Abschluss des Bachelorstudiums Informatik (CSE) gelten folgende Voraussetzungen:
- Erwerb von mindestens 180 ECTS-Leistungspunkten in 4 Studienjahren (8 Semestern).
- Vollständiger Abschluss aller Pflichtmodule, Fachvertiefungen und Wahlpflichtfächer.
- Absolvierung des Industriepraktikums im Unternehmen sowie die erfolgreiche Verteidigung der Bachelorarbeit.
- Nachweis der Englisch-Abschlusskompetenz von mindestens IELTS 6.0 gemäß Studienordnung.
- Verliehener Grad: Bachelor of Science in Informatik, verliehen von der VGU und den deutschen Partnerhochschulen.</t>
  </si>
  <si>
    <t xml:space="preserve">https://vgu.edu.vn/de/abschlusskriterien/informatik</t>
  </si>
  <si>
    <t xml:space="preserve">Quelle: Offizielles VGU-Portal (Gruppe cse-graduation, Dok. 434e2b5f47d6). Zuletzt verifiziert am 2026-03-01. Gültig für das Studienjahr 2026–2027.</t>
  </si>
  <si>
    <t xml:space="preserve">cse_153_faq_summary_vi</t>
  </si>
  <si>
    <t xml:space="preserve">Các câu hỏi thường gặp (FAQ) về ngôn ngữ giảng dạy, bằng cấp và chuyển đổi tín chỉ ngành CSE là gì?</t>
  </si>
  <si>
    <t xml:space="preserve">Giải đáp thắc mắc phổ biến của thí sinh và phụ huynh về ngành Khoa học máy tính (CSE):
- Câu hỏi 1: Toàn bộ chương trình học có được giảng dạy bằng tiếng Anh không?
- Trả lời: Đúng, 100% các môn học chuyên ngành được giảng dạy bằng tiếng Anh bởi giảng viên quốc tế và giảng viên VGU. Sinh viên đồng thời được đào tạo tiếng Đức tăng cường.
- Câu hỏi 2: Bằng cấp của VGU có giá trị quốc tế và tại Đức không?
- Trả lời: Bằng Cử nhân được kiểm định chất lượng bởi các cơ quan kiểm định Châu Âu và được công nhận rộng rãi trên toàn cầu cũng như tại CHLB Đức.
- Câu hỏi 3: Sinh viên có được chuyển đổi tín chỉ sang các trường đại học đối tác Đức không?
- Trả lời: Các học phần được thiết kế theo hệ thống tín chỉ Châu Âu (ECTS), tạo điều kiện thuận lợi cho việc chuyển đổi tín chỉ và học tiếp bậc thạc sĩ.</t>
  </si>
  <si>
    <t xml:space="preserve">https://tuyensinh.vgu.edu.vn/faq</t>
  </si>
  <si>
    <t xml:space="preserve">Nguồn: Cổng thông tin chính thức VGU (nhóm cse-faq, mã tài liệu 982f50887595). Xác minh lần cuối ngày 2026-03-01. Nguồn áp dụng cho năm học 2026–2027.</t>
  </si>
  <si>
    <t xml:space="preserve">cse_153_faq_summary</t>
  </si>
  <si>
    <t xml:space="preserve">cse_153_faq_summary_en</t>
  </si>
  <si>
    <t xml:space="preserve">What are the frequently asked questions (FAQ) regarding instruction language, degree recognition, and credit transfer in CSE?</t>
  </si>
  <si>
    <t xml:space="preserve">Answers to frequently asked questions from applicants and parents regarding Computer Science (CSE):
- Question 1: Is the entire curriculum taught in English?
- Answer: Yes, 100% of specialization courses are taught in English by international and VGU professors. Students also receive intensive German language training.
- Question 2: Is the VGU degree internationally recognized and recognized in Germany?
- Answer: The Bachelor degree is accredited by European quality accreditation agencies and widely recognized globally and throughout Germany.
- Question 3: Can students transfer course credits to German partner universities?
- Answer: Courses are structured according to the European Credit Transfer and Accumulation System (ECTS), facilitating smooth credit transfers and graduate study pathways.</t>
  </si>
  <si>
    <t xml:space="preserve">https://tuyensinh.vgu.edu.vn/en/faq</t>
  </si>
  <si>
    <t xml:space="preserve">Source: Official VGU Portal (group cse-faq, doc d505439bcf5a). Last verified on 2026-03-01. Applicable to academic year 2026–2027.</t>
  </si>
  <si>
    <t xml:space="preserve">cse_153_faq_summary_de</t>
  </si>
  <si>
    <t xml:space="preserve">Was sind die häufig gestellten Fragen (FAQ) zu Unterrichtssprache, Anerkennung des Abschlusses und Studienleistungsanrechnung in Informatik (CSE)?</t>
  </si>
  <si>
    <t xml:space="preserve">Antworten auf häufige Fragen von Studieninteressierten und Eltern zum Studiengang Informatik (CSE):
- Frage 1: Wird das gesamte Studium auf Englisch unterrichtet?
- Antwort: Ja, 100% der Fachvorlesungen werden auf Englisch von internationalen und VGU-Dozenten gehalten. Studierende erhalten zudem begleitenden Deutschunterricht.
- Frage 2: Ist der VGU-Abschluss in Deutschland und international anerkannt?
- Antwort: Der Bachelorabschluss ist durch europäische Qualitätssicherungsagenturen akkreditiert und sowohl in Deutschland als auch weltweit voll anerkannt.
- Frage 3: Können erbrachte Studienleistungen an deutsche Partnerhochschulen angerechnet werden?
- Antwort: Die Module entsprechen dem European Credit Transfer and Accumulation System (ECTS), was die Anerkennung von Studienleistungen und ein anschließendes Masterstudium erleichtert.</t>
  </si>
  <si>
    <t xml:space="preserve">https://vgu.edu.vn/de/faq</t>
  </si>
  <si>
    <t xml:space="preserve">Quelle: Offizielles VGU-Portal (Gruppe cse-faq, Dok. 547ae3a4b9b0). Zuletzt verifiziert am 2026-03-01. Gültig für das Studienjahr 2026–2027.</t>
  </si>
  <si>
    <t xml:space="preserve">cse_154_faq_english_instruction_vi</t>
  </si>
  <si>
    <t xml:space="preserve">Toàn bộ chương trình học có được giảng dạy bằng tiếng Anh không trong chương trình CSE tại VGU?</t>
  </si>
  <si>
    <t xml:space="preserve">Đúng, 100% các môn học chuyên ngành được giảng dạy bằng tiếng Anh bởi giảng viên quốc tế và giảng viên VGU. Sinh viên đồng thời được đào tạo tiếng Đức tăng cường.</t>
  </si>
  <si>
    <t xml:space="preserve">Trích từ mục Câu hỏi thường gặp (cse-faq) trên Cổng thông tin chính thức VGU. Nguồn không ghi rõ năm áp dụng.</t>
  </si>
  <si>
    <t xml:space="preserve">cse_154_faq_english_instruction</t>
  </si>
  <si>
    <t xml:space="preserve">cse_154_faq_english_instruction_en</t>
  </si>
  <si>
    <t xml:space="preserve">Is the entire curriculum taught in English in the CSE program at VGU?</t>
  </si>
  <si>
    <t xml:space="preserve">Yes, 100% of specialization courses are taught in English by international and VGU professors. Students also receive intensive German language training.</t>
  </si>
  <si>
    <t xml:space="preserve">Extracted from the Frequently Asked Questions (cse-faq) section on the official VGU portal. The source does not specify an applicable year.</t>
  </si>
  <si>
    <t xml:space="preserve">cse_154_faq_english_instruction_de</t>
  </si>
  <si>
    <t xml:space="preserve">Wird das gesamte Studium auf Englisch unterrichtet im Studiengang CSE an der VGU?</t>
  </si>
  <si>
    <t xml:space="preserve">Ja, 100% der Fachvorlesungen werden auf Englisch von internationalen und VGU-Dozenten gehalten. Studierende erhalten zudem begleitenden Deutschunterricht.</t>
  </si>
  <si>
    <t xml:space="preserve">Extrahiert aus dem Abschnitt Häufig gestellte Fragen (cse-faq) des offiziellen VGU-Portals. Die Quelle gibt kein geltendes Jahr an.</t>
  </si>
  <si>
    <t xml:space="preserve">cse_155_faq_degree_recognition_vi</t>
  </si>
  <si>
    <t xml:space="preserve">Bằng cấp của VGU có giá trị quốc tế và tại Đức không?</t>
  </si>
  <si>
    <t xml:space="preserve">Bằng Cử nhân được kiểm định chất lượng bởi các cơ quan kiểm định Châu Âu và được công nhận rộng rãi trên toàn cầu cũng như tại CHLB Đức.</t>
  </si>
  <si>
    <t xml:space="preserve">cse_155_faq_degree_recognition</t>
  </si>
  <si>
    <t xml:space="preserve">cse_155_faq_degree_recognition_en</t>
  </si>
  <si>
    <t xml:space="preserve">Is the VGU degree internationally recognized and recognized in Germany?</t>
  </si>
  <si>
    <t xml:space="preserve">The Bachelor degree is accredited by European quality accreditation agencies and widely recognized globally and throughout Germany.</t>
  </si>
  <si>
    <t xml:space="preserve">cse_155_faq_degree_recognition_de</t>
  </si>
  <si>
    <t xml:space="preserve">Ist der VGU-Abschluss in Deutschland und international anerkannt?</t>
  </si>
  <si>
    <t xml:space="preserve">Der Bachelorabschluss ist durch europäische Qualitätssicherungsagenturen akkreditiert und sowohl in Deutschland als auch weltweit voll anerkannt.</t>
  </si>
  <si>
    <t xml:space="preserve">cse_156_faq_credit_transfer_vi</t>
  </si>
  <si>
    <t xml:space="preserve">Sinh viên có được chuyển đổi tín chỉ sang các trường đại học đối tác Đức không trong chương trình CSE tại VGU?</t>
  </si>
  <si>
    <t xml:space="preserve">Các học phần được thiết kế theo hệ thống tín chỉ Châu Âu (ECTS), tạo điều kiện thuận lợi cho việc chuyển đổi tín chỉ và học tiếp bậc thạc sĩ.</t>
  </si>
  <si>
    <t xml:space="preserve">cse_156_faq_credit_transfer</t>
  </si>
  <si>
    <t xml:space="preserve">cse_156_faq_credit_transfer_en</t>
  </si>
  <si>
    <t xml:space="preserve">Can students transfer course credits to German partner universities in the CSE program at VGU?</t>
  </si>
  <si>
    <t xml:space="preserve">Courses are structured according to the European Credit Transfer and Accumulation System (ECTS), facilitating smooth credit transfers and graduate study pathways.</t>
  </si>
  <si>
    <t xml:space="preserve">cse_156_faq_credit_transfer_de</t>
  </si>
  <si>
    <t xml:space="preserve">Können erbrachte Studienleistungen an deutsche Partnerhochschulen angerechnet werden im Studiengang CSE an der VGU?</t>
  </si>
  <si>
    <t xml:space="preserve">Die Module entsprechen dem European Credit Transfer and Accumulation System (ECTS), was die Anerkennung von Studienleistungen und ein anschließendes Masterstudium erleichtert.</t>
  </si>
  <si>
    <t xml:space="preserve">q_unans_01_vi</t>
  </si>
  <si>
    <t xml:space="preserve">out_of_corpus_refusal</t>
  </si>
  <si>
    <t xml:space="preserve">Điểm chuẩn ngành Y đa khoa hoặc Dược học tại VGU năm 2026 là bao nhiêu?</t>
  </si>
  <si>
    <t xml:space="preserve">Tôi không có thông tin về nội dung này trong bộ dữ liệu chính thức của chương trình CSE tại VGU.</t>
  </si>
  <si>
    <t xml:space="preserve">Câu hỏi kiểm thử từ chối ngoài phạm vi (mã gốc: q_unans_01, ngôn ngữ gốc: vi, kiểu: formal/out_of_corpus_refusal, hành vi kỳ vọng: abstain).</t>
  </si>
  <si>
    <t xml:space="preserve">q_unans_01</t>
  </si>
  <si>
    <t xml:space="preserve">eval_refusal</t>
  </si>
  <si>
    <t xml:space="preserve">REFUSAL</t>
  </si>
  <si>
    <t xml:space="preserve">2026-10-18</t>
  </si>
  <si>
    <t xml:space="preserve">q_unans_01_en</t>
  </si>
  <si>
    <t xml:space="preserve">What is the 2026 admission cutoff score for General Medicine or Pharmacy at VGU?</t>
  </si>
  <si>
    <t xml:space="preserve">I don't have that information in the official VGU CSE corpus.</t>
  </si>
  <si>
    <t xml:space="preserve">Out-of-corpus refusal benchmark query (base ID: q_unans_01, original language: vi, style/type: formal/out_of_corpus_refusal, expected behavior: abstain).</t>
  </si>
  <si>
    <t xml:space="preserve">q_unans_01_de</t>
  </si>
  <si>
    <t xml:space="preserve">Wie hoch ist der Zulassungsgrenzwert (NC) für Allgemeinmedizin oder Pharmazie an der VGU im Jahr 2026?</t>
  </si>
  <si>
    <t xml:space="preserve">Dazu liegen im offiziellen VGU-CSE-Korpus keine Informationen vor.</t>
  </si>
  <si>
    <t xml:space="preserve">Out-of-Corpus-Ablehnungstestfrage (Basis-ID: q_unans_01, Originalsprache: vi, Stil/Typ: formal/out_of_corpus_refusal, erwartetes Verhalten: abstain).</t>
  </si>
  <si>
    <t xml:space="preserve">q_unans_02_vi</t>
  </si>
  <si>
    <t xml:space="preserve">Trường VGU có tuyển sinh chương trình Thạc sĩ Hàng không vũ trụ không?</t>
  </si>
  <si>
    <t xml:space="preserve">Câu hỏi kiểm thử từ chối ngoài phạm vi (mã gốc: q_unans_02, ngôn ngữ gốc: vi, kiểu: formal/out_of_corpus_refusal, hành vi kỳ vọng: abstain).</t>
  </si>
  <si>
    <t xml:space="preserve">q_unans_02</t>
  </si>
  <si>
    <t xml:space="preserve">q_unans_02_en</t>
  </si>
  <si>
    <t xml:space="preserve">Does VGU offer admissions for a Master's program in Aerospace Engineering?</t>
  </si>
  <si>
    <t xml:space="preserve">Out-of-corpus refusal benchmark query (base ID: q_unans_02, original language: vi, style/type: formal/out_of_corpus_refusal, expected behavior: abstain).</t>
  </si>
  <si>
    <t xml:space="preserve">q_unans_02_de</t>
  </si>
  <si>
    <t xml:space="preserve">Bietet die VGU einen Masterstudiengang in Luft- und Raumfahrttechnik an?</t>
  </si>
  <si>
    <t xml:space="preserve">Out-of-Corpus-Ablehnungstestfrage (Basis-ID: q_unans_02, Originalsprache: vi, Stil/Typ: formal/out_of_corpus_refusal, erwartetes Verhalten: abstain).</t>
  </si>
  <si>
    <t xml:space="preserve">q_unans_03_vi</t>
  </si>
  <si>
    <t xml:space="preserve">Quy định giờ giới nghiêm ban đêm của ký túc xá VGU là mấy giờ?</t>
  </si>
  <si>
    <t xml:space="preserve">Câu hỏi kiểm thử từ chối ngoài phạm vi (mã gốc: q_unans_03, ngôn ngữ gốc: vi, kiểu: noisy/out_of_corpus_refusal, hành vi kỳ vọng: abstain).</t>
  </si>
  <si>
    <t xml:space="preserve">q_unans_03</t>
  </si>
  <si>
    <t xml:space="preserve">q_unans_03_en</t>
  </si>
  <si>
    <t xml:space="preserve">What is the night curfew time for the VGU dormitory?</t>
  </si>
  <si>
    <t xml:space="preserve">Out-of-corpus refusal benchmark query (base ID: q_unans_03, original language: vi, style/type: noisy/out_of_corpus_refusal, expected behavior: abstain).</t>
  </si>
  <si>
    <t xml:space="preserve">q_unans_03_de</t>
  </si>
  <si>
    <t xml:space="preserve">Um wie viel Uhr beginnt die nächtliche Ausgangssperre im VGU-Wohnheim?</t>
  </si>
  <si>
    <t xml:space="preserve">Out-of-Corpus-Ablehnungstestfrage (Basis-ID: q_unans_03, Originalsprache: vi, Stil/Typ: noisy/out_of_corpus_refusal, erwartetes Verhalten: abstain).</t>
  </si>
  <si>
    <t xml:space="preserve">q_unans_04_vi</t>
  </si>
  <si>
    <t xml:space="preserve">Giá một suất cơm trưa tại căn tin trường Đại học Việt-Đức là bao nhiêu tiền?</t>
  </si>
  <si>
    <t xml:space="preserve">Câu hỏi kiểm thử từ chối ngoài phạm vi (mã gốc: q_unans_04, ngôn ngữ gốc: vi, kiểu: noisy/out_of_corpus_refusal, hành vi kỳ vọng: abstain).</t>
  </si>
  <si>
    <t xml:space="preserve">q_unans_04</t>
  </si>
  <si>
    <t xml:space="preserve">q_unans_04_en</t>
  </si>
  <si>
    <t xml:space="preserve">How much does a lunch meal cost at the Vietnamese-German University canteen?</t>
  </si>
  <si>
    <t xml:space="preserve">Out-of-corpus refusal benchmark query (base ID: q_unans_04, original language: vi, style/type: noisy/out_of_corpus_refusal, expected behavior: abstain).</t>
  </si>
  <si>
    <t xml:space="preserve">q_unans_04_de</t>
  </si>
  <si>
    <t xml:space="preserve">Wie viel kostet ein Mittagessen in der Mensa der Vietnamesisch-Deutschen Universität?</t>
  </si>
  <si>
    <t xml:space="preserve">Out-of-Corpus-Ablehnungstestfrage (Basis-ID: q_unans_04, Originalsprache: vi, Stil/Typ: noisy/out_of_corpus_refusal, erwartetes Verhalten: abstain).</t>
  </si>
  <si>
    <t xml:space="preserve">q_unans_05_vi</t>
  </si>
  <si>
    <t xml:space="preserve">Phí gửi xe máy và xe đạp điện mỗi tháng tại tầng hầm VGU là bao nhiêu?</t>
  </si>
  <si>
    <t xml:space="preserve">Câu hỏi kiểm thử từ chối ngoài phạm vi (mã gốc: q_unans_05, ngôn ngữ gốc: vi, kiểu: formal/out_of_corpus_refusal, hành vi kỳ vọng: abstain).</t>
  </si>
  <si>
    <t xml:space="preserve">q_unans_05</t>
  </si>
  <si>
    <t xml:space="preserve">q_unans_05_en</t>
  </si>
  <si>
    <t xml:space="preserve">What is the monthly parking fee for motorbikes and electric bicycles in the VGU basement?</t>
  </si>
  <si>
    <t xml:space="preserve">Out-of-corpus refusal benchmark query (base ID: q_unans_05, original language: vi, style/type: formal/out_of_corpus_refusal, expected behavior: abstain).</t>
  </si>
  <si>
    <t xml:space="preserve">q_unans_05_de</t>
  </si>
  <si>
    <t xml:space="preserve">Wie hoch ist die monatliche Parkgebühr für Motorräder und Elektrofahrräder in der VGU-Tiefgarage?</t>
  </si>
  <si>
    <t xml:space="preserve">Out-of-Corpus-Ablehnungstestfrage (Basis-ID: q_unans_05, Originalsprache: vi, Stil/Typ: formal/out_of_corpus_refusal, erwartetes Verhalten: abstain).</t>
  </si>
  <si>
    <t xml:space="preserve">q_unans_06_vi</t>
  </si>
  <si>
    <t xml:space="preserve">Sinh viên có được phép nuôi thú cưng trong phòng ký túc xá VGU không?</t>
  </si>
  <si>
    <t xml:space="preserve">Câu hỏi kiểm thử từ chối ngoài phạm vi (mã gốc: q_unans_06, ngôn ngữ gốc: vi, kiểu: formal/out_of_corpus_refusal, hành vi kỳ vọng: abstain).</t>
  </si>
  <si>
    <t xml:space="preserve">q_unans_06</t>
  </si>
  <si>
    <t xml:space="preserve">q_unans_06_en</t>
  </si>
  <si>
    <t xml:space="preserve">Are students allowed to keep pets in VGU dormitory rooms?</t>
  </si>
  <si>
    <t xml:space="preserve">Out-of-corpus refusal benchmark query (base ID: q_unans_06, original language: vi, style/type: formal/out_of_corpus_refusal, expected behavior: abstain).</t>
  </si>
  <si>
    <t xml:space="preserve">q_unans_06_de</t>
  </si>
  <si>
    <t xml:space="preserve">Dürfen Studierende in den Zimmern des VGU-Wohnheims Haustiere halten?</t>
  </si>
  <si>
    <t xml:space="preserve">Out-of-Corpus-Ablehnungstestfrage (Basis-ID: q_unans_06, Originalsprache: vi, Stil/Typ: formal/out_of_corpus_refusal, erwartetes Verhalten: abstain).</t>
  </si>
  <si>
    <t xml:space="preserve">q_unans_07_vi</t>
  </si>
  <si>
    <t xml:space="preserve">Điểm chuẩn GMAT yêu cầu cho chương trình MBA tại VGU là bao nhiêu?</t>
  </si>
  <si>
    <t xml:space="preserve">Câu hỏi kiểm thử từ chối ngoài phạm vi (mã gốc: q_unans_07, ngôn ngữ gốc: en, kiểu: formal/out_of_corpus_refusal, hành vi kỳ vọng: abstain).</t>
  </si>
  <si>
    <t xml:space="preserve">q_unans_07</t>
  </si>
  <si>
    <t xml:space="preserve">q_unans_07_en</t>
  </si>
  <si>
    <t xml:space="preserve">What is the GMAT cutoff score required for the MBA program at VGU?</t>
  </si>
  <si>
    <t xml:space="preserve">Out-of-corpus refusal benchmark query (base ID: q_unans_07, original language: en, style/type: formal/out_of_corpus_refusal, expected behavior: abstain).</t>
  </si>
  <si>
    <t xml:space="preserve">q_unans_07_de</t>
  </si>
  <si>
    <t xml:space="preserve">Welcher GMAT-Mindestwert ist für das MBA-Programm an der VGU erforderlich?</t>
  </si>
  <si>
    <t xml:space="preserve">Out-of-Corpus-Ablehnungstestfrage (Basis-ID: q_unans_07, Originalsprache: en, Stil/Typ: formal/out_of_corpus_refusal, erwartetes Verhalten: abstain).</t>
  </si>
  <si>
    <t xml:space="preserve">q_unans_08_vi</t>
  </si>
  <si>
    <t xml:space="preserve">Học phí chương trình Cử nhân Kiến trúc và Luật Dân sự tại VGU là bao nhiêu?</t>
  </si>
  <si>
    <t xml:space="preserve">Câu hỏi kiểm thử từ chối ngoài phạm vi (mã gốc: q_unans_08, ngôn ngữ gốc: en, kiểu: formal/out_of_corpus_refusal, hành vi kỳ vọng: abstain).</t>
  </si>
  <si>
    <t xml:space="preserve">q_unans_08</t>
  </si>
  <si>
    <t xml:space="preserve">q_unans_08_en</t>
  </si>
  <si>
    <t xml:space="preserve">How much is the tuition fee for the Bachelor in Architecture and Civil Law at VGU?</t>
  </si>
  <si>
    <t xml:space="preserve">Out-of-corpus refusal benchmark query (base ID: q_unans_08, original language: en, style/type: formal/out_of_corpus_refusal, expected behavior: abstain).</t>
  </si>
  <si>
    <t xml:space="preserve">q_unans_08_de</t>
  </si>
  <si>
    <t xml:space="preserve">Wie hoch sind die Studiengebühren für den Bachelor in Architektur und Zivilrecht an der VGU?</t>
  </si>
  <si>
    <t xml:space="preserve">Out-of-Corpus-Ablehnungstestfrage (Basis-ID: q_unans_08, Originalsprache: en, Stil/Typ: formal/out_of_corpus_refusal, erwartetes Verhalten: abstain).</t>
  </si>
  <si>
    <t xml:space="preserve">q_unans_09_vi</t>
  </si>
  <si>
    <t xml:space="preserve">Điểm chuẩn ngành Y khoa tại VGU năm 2026 là bao nhiêu?</t>
  </si>
  <si>
    <t xml:space="preserve">Câu hỏi kiểm thử từ chối ngoài phạm vi (mã gốc: q_unans_09, ngôn ngữ gốc: de, kiểu: formal/out_of_corpus_refusal, hành vi kỳ vọng: abstain).</t>
  </si>
  <si>
    <t xml:space="preserve">q_unans_09</t>
  </si>
  <si>
    <t xml:space="preserve">q_unans_09_en</t>
  </si>
  <si>
    <t xml:space="preserve">What is the admission cutoff (NC) for studying Medicine at VGU in 2026?</t>
  </si>
  <si>
    <t xml:space="preserve">Out-of-corpus refusal benchmark query (base ID: q_unans_09, original language: de, style/type: formal/out_of_corpus_refusal, expected behavior: abstain).</t>
  </si>
  <si>
    <t xml:space="preserve">q_unans_09_de</t>
  </si>
  <si>
    <t xml:space="preserve">Wie hoch ist der NC für das Medizinstudium an der VGU im Jahr 2026?</t>
  </si>
  <si>
    <t xml:space="preserve">Out-of-Corpus-Ablehnungstestfrage (Basis-ID: q_unans_09, Originalsprache: de, Stil/Typ: formal/out_of_corpus_refusal, erwartetes Verhalten: abstain).</t>
  </si>
  <si>
    <t xml:space="preserve">q_unans_10_vi</t>
  </si>
  <si>
    <t xml:space="preserve">Cổng trường mở đến mấy giờ tối cho sinh viên nội trú ký túc xá?</t>
  </si>
  <si>
    <t xml:space="preserve">Câu hỏi kiểm thử từ chối ngoài phạm vi (mã gốc: q_unans_10, ngôn ngữ gốc: de, kiểu: formal/out_of_corpus_refusal, hành vi kỳ vọng: abstain).</t>
  </si>
  <si>
    <t xml:space="preserve">q_unans_10</t>
  </si>
  <si>
    <t xml:space="preserve">q_unans_10_en</t>
  </si>
  <si>
    <t xml:space="preserve">Until what time at night is the university gate open for dormitory students?</t>
  </si>
  <si>
    <t xml:space="preserve">Out-of-corpus refusal benchmark query (base ID: q_unans_10, original language: de, style/type: formal/out_of_corpus_refusal, expected behavior: abstain).</t>
  </si>
  <si>
    <t xml:space="preserve">q_unans_10_de</t>
  </si>
  <si>
    <t xml:space="preserve">Bis wie viel Uhr ist das Universitätstor für Studierende des Wohnheims nachts geöffnet?</t>
  </si>
  <si>
    <t xml:space="preserve">Out-of-Corpus-Ablehnungstestfrage (Basis-ID: q_unans_10, Originalsprache: de, Stil/Typ: formal/out_of_corpus_refusal, erwartetes Verhalten: abstain).</t>
  </si>
  <si>
    <t xml:space="preserve">q_noisy_01_vi</t>
  </si>
  <si>
    <t xml:space="preserve">hoc phi nganh cntt cho sv viet nam la bao nhieu 1 ky vay ad</t>
  </si>
  <si>
    <t xml:space="preserve">Học phí cho sinh viên Việt Nam ngành Khoa học máy tính là 43.700.000 VND/học kỳ.</t>
  </si>
  <si>
    <t xml:space="preserve">Câu hỏi đánh giá truy xuất (mã gốc: q_noisy_01, ngôn ngữ gốc: vi, kiểu: noisy/single_hop, nhóm nguồn: cse-tuition). Áp dụng cho khóa/năm 2026.</t>
  </si>
  <si>
    <t xml:space="preserve">q_noisy_01</t>
  </si>
  <si>
    <t xml:space="preserve">eval_benchmark</t>
  </si>
  <si>
    <t xml:space="preserve">q_noisy_01_en</t>
  </si>
  <si>
    <t xml:space="preserve">How much is the Computer Science tuition fee per semester for Vietnamese students?</t>
  </si>
  <si>
    <t xml:space="preserve">The tuition fee for Vietnamese students in Computer Science is 43,700,000 VND/semester.</t>
  </si>
  <si>
    <t xml:space="preserve">Retrieval benchmark query (base ID: q_noisy_01, original language: vi, style/type: noisy/single_hop, target groups: cse-tuition). For intake/admission year 2026.</t>
  </si>
  <si>
    <t xml:space="preserve">q_noisy_01_de</t>
  </si>
  <si>
    <t xml:space="preserve">Wie hoch ist die Studiengebühr pro Semester für vietnamesische Studierende im Studiengang Informatik?</t>
  </si>
  <si>
    <t xml:space="preserve">Die Studiengebühr für vietnamesische Studierende im Studiengang Informatik beträgt 43.700.000 VND/Semester.</t>
  </si>
  <si>
    <t xml:space="preserve">Retrieval-Benchmarkfrage (Basis-ID: q_noisy_01, Originalsprache: vi, Stil/Typ: noisy/single_hop, Zielgruppen: cse-tuition). Gilt für den Jahrgang / das Zulassungsjahr 2026.</t>
  </si>
  <si>
    <t xml:space="preserve">q_noisy_02_vi</t>
  </si>
  <si>
    <t xml:space="preserve">cho minh hoi hoc phi cho sv quoc te major khoa hoc may tinh la bao nhieu</t>
  </si>
  <si>
    <t xml:space="preserve">Học phí cho sinh viên quốc tế là 65.550.000 VND/học kỳ.</t>
  </si>
  <si>
    <t xml:space="preserve">Câu hỏi đánh giá truy xuất (mã gốc: q_noisy_02, ngôn ngữ gốc: vi, kiểu: noisy/single_hop, nhóm nguồn: cse-tuition). Áp dụng cho khóa/năm 2026.</t>
  </si>
  <si>
    <t xml:space="preserve">q_noisy_02</t>
  </si>
  <si>
    <t xml:space="preserve">q_noisy_02_en</t>
  </si>
  <si>
    <t xml:space="preserve">Could I ask how much the tuition fee is for international students majoring in Computer Science?</t>
  </si>
  <si>
    <t xml:space="preserve">The tuition fee for international students is 65,550,000 VND/semester.</t>
  </si>
  <si>
    <t xml:space="preserve">Retrieval benchmark query (base ID: q_noisy_02, original language: vi, style/type: noisy/single_hop, target groups: cse-tuition). For intake/admission year 2026.</t>
  </si>
  <si>
    <t xml:space="preserve">q_noisy_02_de</t>
  </si>
  <si>
    <t xml:space="preserve">Wie hoch sind die Studiengebühren für internationale Studierende im Hauptfach Informatik?</t>
  </si>
  <si>
    <t xml:space="preserve">Die Studiengebühr für internationale Studierende beträgt 65.550.000 VND/Semester.</t>
  </si>
  <si>
    <t xml:space="preserve">Retrieval-Benchmarkfrage (Basis-ID: q_noisy_02, Originalsprache: vi, Stil/Typ: noisy/single_hop, Zielgruppen: cse-tuition). Gilt für den Jahrgang / das Zulassungsjahr 2026.</t>
  </si>
  <si>
    <t xml:space="preserve">q_noisy_03_vi</t>
  </si>
  <si>
    <t xml:space="preserve">minh thi thpt dc 21 diem co vao dc cse vgu ko</t>
  </si>
  <si>
    <t xml:space="preserve">Có, điểm chuẩn phương thức thi tốt nghiệp THPT (M5) năm 2026 là 20.0 điểm.</t>
  </si>
  <si>
    <t xml:space="preserve">Câu hỏi đánh giá truy xuất (mã gốc: q_noisy_03, ngôn ngữ gốc: vi, kiểu: noisy/single_hop, nhóm nguồn: cse-admissions). Áp dụng cho khóa/năm 2026.</t>
  </si>
  <si>
    <t xml:space="preserve">q_noisy_03</t>
  </si>
  <si>
    <t xml:space="preserve">q_noisy_03_en</t>
  </si>
  <si>
    <t xml:space="preserve">I scored 21 points on the high school graduation exam, can I get into CSE at VGU?</t>
  </si>
  <si>
    <t xml:space="preserve">Yes, the cutoff score for the high school graduation exam method (M5) in 2026 is 20.0 points.</t>
  </si>
  <si>
    <t xml:space="preserve">Retrieval benchmark query (base ID: q_noisy_03, original language: vi, style/type: noisy/single_hop, target groups: cse-admissions). For intake/admission year 2026.</t>
  </si>
  <si>
    <t xml:space="preserve">q_noisy_03_de</t>
  </si>
  <si>
    <t xml:space="preserve">Ich habe 21 Punkte in der THPT-Abiturprüfung erreicht – reicht das für die Zulassung zu CSE an der VGU?</t>
  </si>
  <si>
    <t xml:space="preserve">Ja, die Zulassungsgrenze für das Verfahren der nationalen THPT-Abiturprüfung (M5) im Jahr 2026 liegt bei 20,0 Punkten.</t>
  </si>
  <si>
    <t xml:space="preserve">Retrieval-Benchmarkfrage (Basis-ID: q_noisy_03, Originalsprache: vi, Stil/Typ: noisy/single_hop, Zielgruppen: cse-admissions). Gilt für den Jahrgang / das Zulassungsjahr 2026.</t>
  </si>
  <si>
    <t xml:space="preserve">q_noisy_04_vi</t>
  </si>
  <si>
    <t xml:space="preserve">ielts 5.0 co dc pass tieng anh dau vao ko mn</t>
  </si>
  <si>
    <t xml:space="preserve">Có, thí sinh có chứng chỉ IELTS học thuật ≥ 5.0 đáp ứng yêu cầu tiếng Anh đầu vào.</t>
  </si>
  <si>
    <t xml:space="preserve">Câu hỏi đánh giá truy xuất (mã gốc: q_noisy_04, ngôn ngữ gốc: vi, kiểu: noisy/single_hop, nhóm nguồn: cse-admissions). Áp dụng cho khóa/năm 2026.</t>
  </si>
  <si>
    <t xml:space="preserve">q_noisy_04</t>
  </si>
  <si>
    <t xml:space="preserve">q_noisy_04_en</t>
  </si>
  <si>
    <t xml:space="preserve">Does IELTS 5.0 meet the entrance English requirement?</t>
  </si>
  <si>
    <t xml:space="preserve">Yes, applicants with an Academic IELTS score of ≥ 5.0 meet the entrance English requirement.</t>
  </si>
  <si>
    <t xml:space="preserve">Retrieval benchmark query (base ID: q_noisy_04, original language: vi, style/type: noisy/single_hop, target groups: cse-admissions). For intake/admission year 2026.</t>
  </si>
  <si>
    <t xml:space="preserve">q_noisy_04_de</t>
  </si>
  <si>
    <t xml:space="preserve">Reicht ein IELTS-Ergebnis von 5.0 für die sprachliche Zulassungsvoraussetzung in Englisch?</t>
  </si>
  <si>
    <t xml:space="preserve">Ja, Bewerber mit einem akademischen IELTS-Zertifikat ≥ 5.0 erfüllen die Englischanforderung für die Zulassung.</t>
  </si>
  <si>
    <t xml:space="preserve">Retrieval-Benchmarkfrage (Basis-ID: q_noisy_04, Originalsprache: vi, Stil/Typ: noisy/single_hop, Zielgruppen: cse-admissions). Gilt für den Jahrgang / das Zulassungsjahr 2026.</t>
  </si>
  <si>
    <t xml:space="preserve">q_noisy_05_vi</t>
  </si>
  <si>
    <t xml:space="preserve">hoc cntt o vgu co dc di duc nam cuoi ko mn</t>
  </si>
  <si>
    <t xml:space="preserve">Có, sinh viên năm cuối có cơ hội học tập và làm luận văn tốt nghiệp tại Đức với học bổng DAAD hoặc tự túc.</t>
  </si>
  <si>
    <t xml:space="preserve">Câu hỏi đánh giá truy xuất (mã gốc: q_noisy_05, ngôn ngữ gốc: vi, kiểu: noisy/single_hop, nhóm nguồn: cse-curriculum). Nguồn không ghi rõ năm áp dụng.</t>
  </si>
  <si>
    <t xml:space="preserve">q_noisy_05</t>
  </si>
  <si>
    <t xml:space="preserve">q_noisy_05_en</t>
  </si>
  <si>
    <t xml:space="preserve">Do Computer Science students at VGU get to go to Germany in their final year?</t>
  </si>
  <si>
    <t xml:space="preserve">Yes, final-year students have the opportunity to study and complete their graduation thesis in Germany with a DAAD scholarship or at their own expense.</t>
  </si>
  <si>
    <t xml:space="preserve">Retrieval benchmark query (base ID: q_noisy_05, original language: vi, style/type: noisy/single_hop, target groups: cse-curriculum). The source does not specify an applicable year.</t>
  </si>
  <si>
    <t xml:space="preserve">q_noisy_05_de</t>
  </si>
  <si>
    <t xml:space="preserve">Können Informatikstudierende an der VGU im letzten Studienjahr nach Deutschland gehen?</t>
  </si>
  <si>
    <t xml:space="preserve">Ja, Studierende im letzten Studienjahr haben die Möglichkeit, mit einem DAAD-Stipendium oder auf eigene Kosten in Deutschland zu studieren und dort ihre Abschlussarbeit zu verfassen.</t>
  </si>
  <si>
    <t xml:space="preserve">Retrieval-Benchmarkfrage (Basis-ID: q_noisy_05, Originalsprache: vi, Stil/Typ: noisy/single_hop, Zielgruppen: cse-curriculum). Die Quelle gibt kein geltendes Jahr an.</t>
  </si>
  <si>
    <t xml:space="preserve">q_noisy_06_vi</t>
  </si>
  <si>
    <t xml:space="preserve">hs thpt xet hoc ba nganh khoa hoc may tinh can gpa tieng anh bao nhieu</t>
  </si>
  <si>
    <t xml:space="preserve">Phương thức xét học bạ (M2) yêu cầu điểm TB môn tiếng Anh ba năm THPT đạt ≥ 8.0/10.</t>
  </si>
  <si>
    <t xml:space="preserve">Câu hỏi đánh giá truy xuất (mã gốc: q_noisy_06, ngôn ngữ gốc: vi, kiểu: noisy/single_hop, nhóm nguồn: cse-admissions). Áp dụng cho khóa/năm 2026.</t>
  </si>
  <si>
    <t xml:space="preserve">q_noisy_06</t>
  </si>
  <si>
    <t xml:space="preserve">q_noisy_06_en</t>
  </si>
  <si>
    <t xml:space="preserve">What high school English GPA is required when applying to Computer Science via academic transcripts?</t>
  </si>
  <si>
    <t xml:space="preserve">The high school transcript method (M2) requires a 3-year high school English average of ≥ 8.0/10.</t>
  </si>
  <si>
    <t xml:space="preserve">Retrieval benchmark query (base ID: q_noisy_06, original language: vi, style/type: noisy/single_hop, target groups: cse-admissions). For intake/admission year 2026.</t>
  </si>
  <si>
    <t xml:space="preserve">q_noisy_06_de</t>
  </si>
  <si>
    <t xml:space="preserve">Welcher Englisch-Notendurchschnitt der Oberstufe ist bei der Bewerbung über Schulzeugnisse für Informatik erforderlich?</t>
  </si>
  <si>
    <t xml:space="preserve">Das Auswahlverfahren über gymnasiale Schulzeugnisse (M2) erfordert in den drei Oberstufenjahren einen Englischdurchschnitt von ≥ 8,0/10.</t>
  </si>
  <si>
    <t xml:space="preserve">Retrieval-Benchmarkfrage (Basis-ID: q_noisy_06, Originalsprache: vi, Stil/Typ: noisy/single_hop, Zielgruppen: cse-admissions). Gilt für den Jahrgang / das Zulassungsjahr 2026.</t>
  </si>
  <si>
    <t xml:space="preserve">q_noisy_07_vi</t>
  </si>
  <si>
    <t xml:space="preserve">vgu co ktx ko va tien phong 2 nguoi mot thang khoang bao nhieu</t>
  </si>
  <si>
    <t xml:space="preserve">Ký túc xá có phòng 2 người máy lạnh với mức phí 1.200.000 VND/tháng.</t>
  </si>
  <si>
    <t xml:space="preserve">Câu hỏi đánh giá truy xuất (mã gốc: q_noisy_07, ngôn ngữ gốc: vi, kiểu: noisy/single_hop, nhóm nguồn: cse-dorms-campus). Nguồn không ghi rõ năm áp dụng.</t>
  </si>
  <si>
    <t xml:space="preserve">q_noisy_07</t>
  </si>
  <si>
    <t xml:space="preserve">q_noisy_07_en</t>
  </si>
  <si>
    <t xml:space="preserve">Does VGU have a dormitory and how much is a 2-person room per month?</t>
  </si>
  <si>
    <t xml:space="preserve">The dormitory offers air-conditioned 2-person rooms at a fee of 1,200,000 VND/month.</t>
  </si>
  <si>
    <t xml:space="preserve">Retrieval benchmark query (base ID: q_noisy_07, original language: vi, style/type: noisy/single_hop, target groups: cse-dorms-campus). The source does not specify an applicable year.</t>
  </si>
  <si>
    <t xml:space="preserve">q_noisy_07_de</t>
  </si>
  <si>
    <t xml:space="preserve">Hat die VGU ein Wohnheim und wie viel kostet ein 2-Bett-Zimmer pro Monat?</t>
  </si>
  <si>
    <t xml:space="preserve">Das Wohnheim verfügt über klimatisierte 2-Bett-Zimmer zu einer Gebühr von 1.200.000 VND/Monat.</t>
  </si>
  <si>
    <t xml:space="preserve">Retrieval-Benchmarkfrage (Basis-ID: q_noisy_07, Originalsprache: vi, Stil/Typ: noisy/single_hop, Zielgruppen: cse-dorms-campus). Die Quelle gibt kein geltendes Jahr an.</t>
  </si>
  <si>
    <t xml:space="preserve">q_noisy_08_vi</t>
  </si>
  <si>
    <t xml:space="preserve">hoc phi cse dong theo nam hay theo ky vay</t>
  </si>
  <si>
    <t xml:space="preserve">Học phí được tính và đóng theo từng học kỳ (gồm 8 học kỳ trong 4 năm).</t>
  </si>
  <si>
    <t xml:space="preserve">Câu hỏi đánh giá truy xuất (mã gốc: q_noisy_08, ngôn ngữ gốc: vi, kiểu: noisy/single_hop, nhóm nguồn: cse-tuition). Áp dụng cho khóa/năm 2026.</t>
  </si>
  <si>
    <t xml:space="preserve">q_noisy_08</t>
  </si>
  <si>
    <t xml:space="preserve">q_noisy_08_en</t>
  </si>
  <si>
    <t xml:space="preserve">Is CSE tuition paid per year or per semester?</t>
  </si>
  <si>
    <t xml:space="preserve">Tuition is calculated and paid per semester (across 8 semesters in 4 years).</t>
  </si>
  <si>
    <t xml:space="preserve">Retrieval benchmark query (base ID: q_noisy_08, original language: vi, style/type: noisy/single_hop, target groups: cse-tuition). For intake/admission year 2026.</t>
  </si>
  <si>
    <t xml:space="preserve">q_noisy_08_de</t>
  </si>
  <si>
    <t xml:space="preserve">Wird die CSE-Studiengebühr jährlich oder pro Semester gezahlt?</t>
  </si>
  <si>
    <t xml:space="preserve">Die Studiengebühren werden pro Semester berechnet und gezahlt (insgesamt 8 Semester in 4 Jahren).</t>
  </si>
  <si>
    <t xml:space="preserve">Retrieval-Benchmarkfrage (Basis-ID: q_noisy_08, Originalsprache: vi, Stil/Typ: noisy/single_hop, Zielgruppen: cse-tuition). Gilt für den Jahrgang / das Zulassungsjahr 2026.</t>
  </si>
  <si>
    <t xml:space="preserve">q_noisy_09_vi</t>
  </si>
  <si>
    <t xml:space="preserve">hoc xong cse ra truong apply lam dc nhung job gi vay ad</t>
  </si>
  <si>
    <t xml:space="preserve">Các cơ hội nghề nghiệp gồm: Quản trị mạng, Khoa học dữ liệu, Mạng và IoT, Phát triển Web, An toàn thông tin, Phát triển phần mềm.</t>
  </si>
  <si>
    <t xml:space="preserve">Câu hỏi đánh giá truy xuất (mã gốc: q_noisy_09, ngôn ngữ gốc: vi, kiểu: noisy/single_hop, nhóm nguồn: cse-careers). Nguồn không ghi rõ năm áp dụng.</t>
  </si>
  <si>
    <t xml:space="preserve">q_noisy_09</t>
  </si>
  <si>
    <t xml:space="preserve">q_noisy_09_en</t>
  </si>
  <si>
    <t xml:space="preserve">What jobs can I apply for after graduating from CSE?</t>
  </si>
  <si>
    <t xml:space="preserve">Career opportunities include: Network Administration, Data Science, Computer Networks and IoT, Web Development, Information Security, and Software Development.</t>
  </si>
  <si>
    <t xml:space="preserve">Retrieval benchmark query (base ID: q_noisy_09, original language: vi, style/type: noisy/single_hop, target groups: cse-careers). The source does not specify an applicable year.</t>
  </si>
  <si>
    <t xml:space="preserve">q_noisy_09_de</t>
  </si>
  <si>
    <t xml:space="preserve">Für welche Berufe kann man sich nach dem Abschluss in CSE bewerben?</t>
  </si>
  <si>
    <t xml:space="preserve">Zu den Berufsfeldern gehören: Netzwerkadministration, Data Science, Rechnernetze und IoT, Webentwicklung, Informationssicherheit und Softwareentwicklung.</t>
  </si>
  <si>
    <t xml:space="preserve">Retrieval-Benchmarkfrage (Basis-ID: q_noisy_09, Originalsprache: vi, Stil/Typ: noisy/single_hop, Zielgruppen: cse-careers). Die Quelle gibt kein geltendes Jahr an.</t>
  </si>
  <si>
    <t xml:space="preserve">q_noisy_10_vi</t>
  </si>
  <si>
    <t xml:space="preserve">hotline va email phong tuyen sinh vgu de lien he la gi vay</t>
  </si>
  <si>
    <t xml:space="preserve">Hotline tuyển sinh là 0988 54 52 54 hoặc (0274) 222 0990; email là study@vgu.edu.vn.</t>
  </si>
  <si>
    <t xml:space="preserve">Câu hỏi đánh giá truy xuất (mã gốc: q_noisy_10, ngôn ngữ gốc: vi, kiểu: noisy/single_hop, nhóm nguồn: cse-contact). Nguồn không ghi rõ năm áp dụng.</t>
  </si>
  <si>
    <t xml:space="preserve">q_noisy_10</t>
  </si>
  <si>
    <t xml:space="preserve">q_noisy_10_en</t>
  </si>
  <si>
    <t xml:space="preserve">What are the hotline and email of the VGU Admissions Office?</t>
  </si>
  <si>
    <t xml:space="preserve">The admissions hotline is 0988 54 52 54 or (0274) 222 0990; the email is study@vgu.edu.vn.</t>
  </si>
  <si>
    <t xml:space="preserve">Retrieval benchmark query (base ID: q_noisy_10, original language: vi, style/type: noisy/single_hop, target groups: cse-contact). The source does not specify an applicable year.</t>
  </si>
  <si>
    <t xml:space="preserve">q_noisy_10_de</t>
  </si>
  <si>
    <t xml:space="preserve">Wie lauten Hotline und E-Mail-Adresse der VGU-Zulassungsstelle?</t>
  </si>
  <si>
    <t xml:space="preserve">Die Zulassungshotline lautet 0988 54 52 54 oder (0274) 222 0990; die E-Mail-Adresse ist study@vgu.edu.vn.</t>
  </si>
  <si>
    <t xml:space="preserve">Retrieval-Benchmarkfrage (Basis-ID: q_noisy_10, Originalsprache: vi, Stil/Typ: noisy/single_hop, Zielgruppen: cse-contact). Die Quelle gibt kein geltendes Jahr an.</t>
  </si>
  <si>
    <t xml:space="preserve">q_nat_01_vi</t>
  </si>
  <si>
    <t xml:space="preserve">Điểm chuẩn ngành Khoa học máy tính năm 2026 là bao nhiêu?</t>
  </si>
  <si>
    <t xml:space="preserve">Điểm chuẩn năm 2026 là 20.0 điểm thi tốt nghiệp THPT hoặc 90 điểm thi TestAS.</t>
  </si>
  <si>
    <t xml:space="preserve">Câu hỏi đánh giá truy xuất (mã gốc: q_nat_01, ngôn ngữ gốc: vi, kiểu: natural/single_hop, nhóm nguồn: cse-admissions). Áp dụng cho khóa/năm 2026.</t>
  </si>
  <si>
    <t xml:space="preserve">q_nat_01</t>
  </si>
  <si>
    <t xml:space="preserve">q_nat_01_en</t>
  </si>
  <si>
    <t xml:space="preserve">What is the admission cutoff score for Computer Science in 2026?</t>
  </si>
  <si>
    <t xml:space="preserve">The 2026 cutoff score is 20.0 points on the high school graduation exam or 90 points on the TestAS exam.</t>
  </si>
  <si>
    <t xml:space="preserve">Retrieval benchmark query (base ID: q_nat_01, original language: vi, style/type: natural/single_hop, target groups: cse-admissions). For intake/admission year 2026.</t>
  </si>
  <si>
    <t xml:space="preserve">q_nat_01_de</t>
  </si>
  <si>
    <t xml:space="preserve">Wie hoch ist die Zulassungsgrenze für Informatik im Jahr 2026?</t>
  </si>
  <si>
    <t xml:space="preserve">Die Zulassungsgrenze 2026 liegt bei 20,0 Punkten in der THPT-Abiturprüfung oder 90 Punkten im TestAS.</t>
  </si>
  <si>
    <t xml:space="preserve">Retrieval-Benchmarkfrage (Basis-ID: q_nat_01, Originalsprache: vi, Stil/Typ: natural/single_hop, Zielgruppen: cse-admissions). Gilt für den Jahrgang / das Zulassungsjahr 2026.</t>
  </si>
  <si>
    <t xml:space="preserve">q_nat_02_vi</t>
  </si>
  <si>
    <t xml:space="preserve">Ngành Khoa học máy tính có những phương thức xét tuyển nào?</t>
  </si>
  <si>
    <t xml:space="preserve">Có 5 phương thức: M1 TestAS, M2 Học bạ, M3 Tuyển thẳng, M4 Chứng chỉ quốc tế, M5 Điểm thi THPT.</t>
  </si>
  <si>
    <t xml:space="preserve">Câu hỏi đánh giá truy xuất (mã gốc: q_nat_02, ngôn ngữ gốc: vi, kiểu: natural/single_hop, nhóm nguồn: cse-admissions). Áp dụng cho khóa/năm 2026.</t>
  </si>
  <si>
    <t xml:space="preserve">q_nat_02</t>
  </si>
  <si>
    <t xml:space="preserve">q_nat_02_en</t>
  </si>
  <si>
    <t xml:space="preserve">Which admission methods does the Computer Science program offer?</t>
  </si>
  <si>
    <t xml:space="preserve">There are 5 methods: M1 TestAS, M2 High school transcripts, M3 Direct admission, M4 International certificates, and M5 High school graduation exam scores.</t>
  </si>
  <si>
    <t xml:space="preserve">Retrieval benchmark query (base ID: q_nat_02, original language: vi, style/type: natural/single_hop, target groups: cse-admissions). For intake/admission year 2026.</t>
  </si>
  <si>
    <t xml:space="preserve">q_nat_02_de</t>
  </si>
  <si>
    <t xml:space="preserve">Welche Auswahlverfahren gibt es für den Studiengang Informatik?</t>
  </si>
  <si>
    <t xml:space="preserve">Es gibt 5 Verfahren: M1 TestAS, M2 Schulzeugnisse, M3 Direktzulassung, M4 Internationale Zertifikate und M5 THPT-Abiturprüfung.</t>
  </si>
  <si>
    <t xml:space="preserve">Retrieval-Benchmarkfrage (Basis-ID: q_nat_02, Originalsprache: vi, Stil/Typ: natural/single_hop, Zielgruppen: cse-admissions). Gilt für den Jahrgang / das Zulassungsjahr 2026.</t>
  </si>
  <si>
    <t xml:space="preserve">q_nat_03_vi</t>
  </si>
  <si>
    <t xml:space="preserve">Sinh viên Khoa học máy tính có thể nhận học bổng DAAD để sang Đức làm luận văn tốt nghiệp không?</t>
  </si>
  <si>
    <t xml:space="preserve">Có, DAAD tài trợ học bổng toàn phần hoặc bán phần cho sinh viên năm cuối sang Đức học tập và làm luận văn.</t>
  </si>
  <si>
    <t xml:space="preserve">Câu hỏi đánh giá truy xuất (mã gốc: q_nat_03, ngôn ngữ gốc: vi, kiểu: natural/single_hop, nhóm nguồn: cse-scholarships, cse-curriculum). Nguồn không ghi rõ năm áp dụng.</t>
  </si>
  <si>
    <t xml:space="preserve">q_nat_03</t>
  </si>
  <si>
    <t xml:space="preserve">q_nat_03_en</t>
  </si>
  <si>
    <t xml:space="preserve">Can Computer Science students receive a DAAD scholarship to go to Germany for their graduation thesis?</t>
  </si>
  <si>
    <t xml:space="preserve">Yes, DAAD funds full or partial scholarships for final-year students to study and complete their graduation thesis in Germany.</t>
  </si>
  <si>
    <t xml:space="preserve">Retrieval benchmark query (base ID: q_nat_03, original language: vi, style/type: natural/single_hop, target groups: cse-scholarships, cse-curriculum). The source does not specify an applicable year.</t>
  </si>
  <si>
    <t xml:space="preserve">q_nat_03_de</t>
  </si>
  <si>
    <t xml:space="preserve">Können Informatikstudierende ein DAAD-Stipendium erhalten, um für ihre Bachelorarbeit nach Deutschland zu gehen?</t>
  </si>
  <si>
    <t xml:space="preserve">Ja, der DAAD vergibt Voll- oder Teilstipendien an Studierende im letzten Studienjahr für ein Studiensemester und die Bachelorarbeit in Deutschland.</t>
  </si>
  <si>
    <t xml:space="preserve">Retrieval-Benchmarkfrage (Basis-ID: q_nat_03, Originalsprache: vi, Stil/Typ: natural/single_hop, Zielgruppen: cse-scholarships, cse-curriculum). Die Quelle gibt kein geltendes Jahr an.</t>
  </si>
  <si>
    <t xml:space="preserve">q_nat_04_vi</t>
  </si>
  <si>
    <t xml:space="preserve">Mức học bổng tài năng dành cho tân sinh viên Khoa học máy tính cao nhất là bao nhiêu?</t>
  </si>
  <si>
    <t xml:space="preserve">Mức cao nhất của Học bổng tài năng VGU là miễn giảm 100% học phí năm thứ nhất.</t>
  </si>
  <si>
    <t xml:space="preserve">Câu hỏi đánh giá truy xuất (mã gốc: q_nat_04, ngôn ngữ gốc: vi, kiểu: natural/single_hop, nhóm nguồn: cse-scholarships). Áp dụng cho khóa/năm 2026.</t>
  </si>
  <si>
    <t xml:space="preserve">q_nat_04</t>
  </si>
  <si>
    <t xml:space="preserve">q_nat_04_en</t>
  </si>
  <si>
    <t xml:space="preserve">What is the highest VGU Talent Scholarship level for incoming Computer Science freshmen?</t>
  </si>
  <si>
    <t xml:space="preserve">The highest level of the VGU Talent Scholarship is a 100% tuition reduction for the first year.</t>
  </si>
  <si>
    <t xml:space="preserve">Retrieval benchmark query (base ID: q_nat_04, original language: vi, style/type: natural/single_hop, target groups: cse-scholarships). For intake/admission year 2026.</t>
  </si>
  <si>
    <t xml:space="preserve">q_nat_04_de</t>
  </si>
  <si>
    <t xml:space="preserve">Wie hoch ist die höchste Förderstufe des VGU-Begabtenstipendiums für Studienanfänger der Informatik?</t>
  </si>
  <si>
    <t xml:space="preserve">Die höchste Stufe des VGU-Begabtenstipendiums umfasst einen 100-%-Erlass der Studiengebühren im ersten Studienjahr.</t>
  </si>
  <si>
    <t xml:space="preserve">Retrieval-Benchmarkfrage (Basis-ID: q_nat_04, Originalsprache: vi, Stil/Typ: natural/single_hop, Zielgruppen: cse-scholarships). Gilt für den Jahrgang / das Zulassungsjahr 2026.</t>
  </si>
  <si>
    <t xml:space="preserve">q_nat_05_vi</t>
  </si>
  <si>
    <t xml:space="preserve">Điểm chuẩn xét tuyển ngành Khoa học máy tính năm 2026 là bao nhiêu?</t>
  </si>
  <si>
    <t xml:space="preserve">Điểm chuẩn năm 2026 là 20.0 điểm theo kỳ thi tốt nghiệp THPT hoặc 90 điểm bài thi TestAS.</t>
  </si>
  <si>
    <t xml:space="preserve">Câu hỏi đánh giá truy xuất (mã gốc: q_nat_05, ngôn ngữ gốc: en, kiểu: natural/single_hop, nhóm nguồn: cse-admissions). Áp dụng cho khóa/năm 2026.</t>
  </si>
  <si>
    <t xml:space="preserve">q_nat_05</t>
  </si>
  <si>
    <t xml:space="preserve">q_nat_05_en</t>
  </si>
  <si>
    <t xml:space="preserve">What is the cutoff score for Computer Science in 2026?</t>
  </si>
  <si>
    <t xml:space="preserve">The 2026 cutoff is 20.0 points via high school graduation exam or 90 points on TestAS.</t>
  </si>
  <si>
    <t xml:space="preserve">Retrieval benchmark query (base ID: q_nat_05, original language: en, style/type: natural/single_hop, target groups: cse-admissions). For intake/admission year 2026.</t>
  </si>
  <si>
    <t xml:space="preserve">q_nat_05_de</t>
  </si>
  <si>
    <t xml:space="preserve">Wie lautet der Zulassungsgrenzwert für Informatik im Jahr 2026?</t>
  </si>
  <si>
    <t xml:space="preserve">Die Zulassungsgrenze 2026 beträgt 20,0 Punkte über die Abiturprüfung oder 90 Punkte im TestAS.</t>
  </si>
  <si>
    <t xml:space="preserve">Retrieval-Benchmarkfrage (Basis-ID: q_nat_05, Originalsprache: en, Stil/Typ: natural/single_hop, Zielgruppen: cse-admissions). Gilt für den Jahrgang / das Zulassungsjahr 2026.</t>
  </si>
  <si>
    <t xml:space="preserve">q_nat_06_vi</t>
  </si>
  <si>
    <t xml:space="preserve">Các phương thức xét tuyển hiện có cho ngành Khoa học máy tính là gì?</t>
  </si>
  <si>
    <t xml:space="preserve">Năm phương thức gồm: M1 TestAS, M2 Học bạ, M3 Tuyển thẳng, M4 Chứng chỉ quốc tế, M5 Thi tốt nghiệp THPT.</t>
  </si>
  <si>
    <t xml:space="preserve">Câu hỏi đánh giá truy xuất (mã gốc: q_nat_06, ngôn ngữ gốc: en, kiểu: natural/single_hop, nhóm nguồn: cse-admissions). Áp dụng cho khóa/năm 2026.</t>
  </si>
  <si>
    <t xml:space="preserve">q_nat_06</t>
  </si>
  <si>
    <t xml:space="preserve">q_nat_06_en</t>
  </si>
  <si>
    <t xml:space="preserve">What admission methods are available for Computer Science?</t>
  </si>
  <si>
    <t xml:space="preserve">Five methods: M1 TestAS, M2 transcripts, M3 direct admission, M4 international certificates, M5 graduation exam.</t>
  </si>
  <si>
    <t xml:space="preserve">Retrieval benchmark query (base ID: q_nat_06, original language: en, style/type: natural/single_hop, target groups: cse-admissions). For intake/admission year 2026.</t>
  </si>
  <si>
    <t xml:space="preserve">q_nat_06_de</t>
  </si>
  <si>
    <t xml:space="preserve">Welche Zulassungsverfahren stehen für Informatik zur Verfügung?</t>
  </si>
  <si>
    <t xml:space="preserve">Fünf Verfahren: M1 TestAS, M2 Schulzeugnisse, M3 Direktzulassung, M4 internationale Abschlüsse, M5 Abiturprüfung.</t>
  </si>
  <si>
    <t xml:space="preserve">Retrieval-Benchmarkfrage (Basis-ID: q_nat_06, Originalsprache: en, Stil/Typ: natural/single_hop, Zielgruppen: cse-admissions). Gilt für den Jahrgang / das Zulassungsjahr 2026.</t>
  </si>
  <si>
    <t xml:space="preserve">q_nat_07_vi</t>
  </si>
  <si>
    <t xml:space="preserve">Yêu cầu trình độ tiếng Anh đối với chương trình Cử nhân Khoa học máy tính là gì?</t>
  </si>
  <si>
    <t xml:space="preserve">Yêu cầu tối thiểu là IELTS học thuật ≥ 5.0, đỗ bài thi tiếng Anh nội bộ VGU, hoặc điểm trung bình tiếng Anh THPT ≥ 8.0/10.</t>
  </si>
  <si>
    <t xml:space="preserve">Câu hỏi đánh giá truy xuất (mã gốc: q_nat_07, ngôn ngữ gốc: en, kiểu: natural/single_hop, nhóm nguồn: cse-admissions). Áp dụng cho khóa/năm 2026.</t>
  </si>
  <si>
    <t xml:space="preserve">q_nat_07</t>
  </si>
  <si>
    <t xml:space="preserve">q_nat_07_en</t>
  </si>
  <si>
    <t xml:space="preserve">What is the English language proficiency requirement for the Computer Science bachelor program?</t>
  </si>
  <si>
    <t xml:space="preserve">Minimum requirement is Academic IELTS ≥ 5.0, internal VGU English test pass, or high school English average ≥ 8.0/10.</t>
  </si>
  <si>
    <t xml:space="preserve">Retrieval benchmark query (base ID: q_nat_07, original language: en, style/type: natural/single_hop, target groups: cse-admissions). For intake/admission year 2026.</t>
  </si>
  <si>
    <t xml:space="preserve">q_nat_07_de</t>
  </si>
  <si>
    <t xml:space="preserve">Welche Englischkenntnisse werden für das Bachelorstudium Informatik vorausgesetzt?</t>
  </si>
  <si>
    <t xml:space="preserve">Mindestanforderung ist IELTS Academic ≥ 5.0, das Bestehen des internen VGU-Englischtests oder ein Oberstufen-Englischdurchschnitt ≥ 8,0/10.</t>
  </si>
  <si>
    <t xml:space="preserve">Retrieval-Benchmarkfrage (Basis-ID: q_nat_07, Originalsprache: en, Stil/Typ: natural/single_hop, Zielgruppen: cse-admissions). Gilt für den Jahrgang / das Zulassungsjahr 2026.</t>
  </si>
  <si>
    <t xml:space="preserve">q_nat_08_vi</t>
  </si>
  <si>
    <t xml:space="preserve">Ngưỡng điểm trúng tuyển ngành Khoa học máy tính năm 2026 là bao nhiêu?</t>
  </si>
  <si>
    <t xml:space="preserve">Điểm chuẩn năm 2026 là 20.0 điểm (THPT M5) hoặc 90 điểm trong kỳ thi TestAS (M1).</t>
  </si>
  <si>
    <t xml:space="preserve">Câu hỏi đánh giá truy xuất (mã gốc: q_nat_08, ngôn ngữ gốc: de, kiểu: natural/single_hop, nhóm nguồn: cse-admissions). Áp dụng cho khóa/năm 2026.</t>
  </si>
  <si>
    <t xml:space="preserve">q_nat_08</t>
  </si>
  <si>
    <t xml:space="preserve">q_nat_08_en</t>
  </si>
  <si>
    <t xml:space="preserve">What is the admission threshold for Computer Science in 2026?</t>
  </si>
  <si>
    <t xml:space="preserve">The 2026 admission threshold is 20.0 points (THPT M5) or 90 points on the TestAS (M1).</t>
  </si>
  <si>
    <t xml:space="preserve">Retrieval benchmark query (base ID: q_nat_08, original language: de, style/type: natural/single_hop, target groups: cse-admissions). For intake/admission year 2026.</t>
  </si>
  <si>
    <t xml:space="preserve">q_nat_08_de</t>
  </si>
  <si>
    <t xml:space="preserve">Die Zulassungsgrenze 2026 liegt bei 20.0 Punkten (THPT M5) bzw. 90 Punkten im TestAS (M1).</t>
  </si>
  <si>
    <t xml:space="preserve">Retrieval-Benchmarkfrage (Basis-ID: q_nat_08, Originalsprache: de, Stil/Typ: natural/single_hop, Zielgruppen: cse-admissions). Gilt für den Jahrgang / das Zulassungsjahr 2026.</t>
  </si>
  <si>
    <t xml:space="preserve">q_neg_01_vi</t>
  </si>
  <si>
    <t xml:space="preserve">Thí sinh có chứng chỉ IELTS 4.5 có đủ điều kiện tiếng Anh tối thiểu để dự tuyển vào ngành Khoa học máy tính không?</t>
  </si>
  <si>
    <t xml:space="preserve">Không, mức tối thiểu yêu cầu là IELTS học thuật ≥ 5.0.</t>
  </si>
  <si>
    <t xml:space="preserve">Câu hỏi đánh giá truy xuất (mã gốc: q_neg_01, ngôn ngữ gốc: vi, kiểu: formal/answerable_negation, nhóm nguồn: cse-admissions). Áp dụng cho khóa/năm 2026.</t>
  </si>
  <si>
    <t xml:space="preserve">q_neg_01</t>
  </si>
  <si>
    <t xml:space="preserve">q_neg_01_en</t>
  </si>
  <si>
    <t xml:space="preserve">Does an applicant with IELTS 4.5 meet the minimum English requirement to apply for Computer Science?</t>
  </si>
  <si>
    <t xml:space="preserve">No, the minimum required score is Academic IELTS ≥ 5.0.</t>
  </si>
  <si>
    <t xml:space="preserve">Retrieval benchmark query (base ID: q_neg_01, original language: vi, style/type: formal/answerable_negation, target groups: cse-admissions). For intake/admission year 2026.</t>
  </si>
  <si>
    <t xml:space="preserve">q_neg_01_de</t>
  </si>
  <si>
    <t xml:space="preserve">Erfüllen Bewerber mit IELTS 4.5 die sprachliche Mindestanforderung in Englisch für den Studiengang Informatik?</t>
  </si>
  <si>
    <t xml:space="preserve">Nein, die Mindestanforderung liegt bei einem akademischen IELTS von ≥ 5.0.</t>
  </si>
  <si>
    <t xml:space="preserve">Retrieval-Benchmarkfrage (Basis-ID: q_neg_01, Originalsprache: vi, Stil/Typ: formal/answerable_negation, Zielgruppen: cse-admissions). Gilt für den Jahrgang / das Zulassungsjahr 2026.</t>
  </si>
  <si>
    <t xml:space="preserve">q_neg_02_vi</t>
  </si>
  <si>
    <t xml:space="preserve">Sinh viên ngành Khoa học máy tính có bắt buộc phải đóng toàn bộ học phí 4 năm một lần khi nhập học không?</t>
  </si>
  <si>
    <t xml:space="preserve">Không, học phí được thanh toán theo từng học kỳ.</t>
  </si>
  <si>
    <t xml:space="preserve">Câu hỏi đánh giá truy xuất (mã gốc: q_neg_02, ngôn ngữ gốc: vi, kiểu: formal/answerable_negation, nhóm nguồn: cse-tuition). Áp dụng cho khóa/năm 2026.</t>
  </si>
  <si>
    <t xml:space="preserve">q_neg_02</t>
  </si>
  <si>
    <t xml:space="preserve">q_neg_02_en</t>
  </si>
  <si>
    <t xml:space="preserve">Are Computer Science students required to pay the entire 4-year tuition fee all at once upon enrollment?</t>
  </si>
  <si>
    <t xml:space="preserve">No, tuition fees are paid per semester.</t>
  </si>
  <si>
    <t xml:space="preserve">Retrieval benchmark query (base ID: q_neg_02, original language: vi, style/type: formal/answerable_negation, target groups: cse-tuition). For intake/admission year 2026.</t>
  </si>
  <si>
    <t xml:space="preserve">q_neg_02_de</t>
  </si>
  <si>
    <t xml:space="preserve">Müssen Informatikstudierende bei der Einschreibung die gesamten Studiengebühren für 4 Jahre auf einmal bezahlen?</t>
  </si>
  <si>
    <t xml:space="preserve">Nein, die Studiengebühren werden jeweils pro Semester entrichtet.</t>
  </si>
  <si>
    <t xml:space="preserve">Retrieval-Benchmarkfrage (Basis-ID: q_neg_02, Originalsprache: vi, Stil/Typ: formal/answerable_negation, Zielgruppen: cse-tuition). Gilt für den Jahrgang / das Zulassungsjahr 2026.</t>
  </si>
  <si>
    <t xml:space="preserve">q_neg_03_vi</t>
  </si>
  <si>
    <t xml:space="preserve">Nhà trường có được tự ý điều chỉnh tăng học phí mỗi học kỳ trong thời gian đào tạo tiêu chuẩn không?</t>
  </si>
  <si>
    <t xml:space="preserve">Không, mức học phí mỗi học kỳ được cam kết không đổi trong suốt 4 năm đào tạo tiêu chuẩn.</t>
  </si>
  <si>
    <t xml:space="preserve">Câu hỏi đánh giá truy xuất (mã gốc: q_neg_03, ngôn ngữ gốc: vi, kiểu: formal/answerable_negation, nhóm nguồn: cse-tuition). Áp dụng cho khóa/năm 2026.</t>
  </si>
  <si>
    <t xml:space="preserve">q_neg_03</t>
  </si>
  <si>
    <t xml:space="preserve">q_neg_03_en</t>
  </si>
  <si>
    <t xml:space="preserve">Does the university increase the semester tuition fee during the standard study period?</t>
  </si>
  <si>
    <t xml:space="preserve">No, the tuition fee per semester remains unchanged throughout the standard 4-year study duration.</t>
  </si>
  <si>
    <t xml:space="preserve">Retrieval benchmark query (base ID: q_neg_03, original language: vi, style/type: formal/answerable_negation, target groups: cse-tuition). For intake/admission year 2026.</t>
  </si>
  <si>
    <t xml:space="preserve">q_neg_03_de</t>
  </si>
  <si>
    <t xml:space="preserve">Erhöht die Universität die Studiengebühren pro Semester während der vierjährigen Regelstudienzeit?</t>
  </si>
  <si>
    <t xml:space="preserve">Nein, die Studiengebühr pro Semester bleibt während der gesamten vierjährigen Regelstudienzeit unverändert.</t>
  </si>
  <si>
    <t xml:space="preserve">Retrieval-Benchmarkfrage (Basis-ID: q_neg_03, Originalsprache: vi, Stil/Typ: formal/answerable_negation, Zielgruppen: cse-tuition). Gilt für den Jahrgang / das Zulassungsjahr 2026.</t>
  </si>
  <si>
    <t xml:space="preserve">q_neg_04_vi</t>
  </si>
  <si>
    <t xml:space="preserve">Các môn học trong năm đại cương ngành Khoa học máy tính có được tính vào 180 tín chỉ chuyên ngành không?</t>
  </si>
  <si>
    <t xml:space="preserve">Không, năm đại cương không có tín chỉ; 180 tín chỉ được tích lũy trong 6 học kỳ chuyên ngành.</t>
  </si>
  <si>
    <t xml:space="preserve">Câu hỏi đánh giá truy xuất (mã gốc: q_neg_04, ngôn ngữ gốc: vi, kiểu: formal/answerable_negation, nhóm nguồn: cse-curriculum). Nguồn không ghi rõ năm áp dụng.</t>
  </si>
  <si>
    <t xml:space="preserve">q_neg_04</t>
  </si>
  <si>
    <t xml:space="preserve">q_neg_04_en</t>
  </si>
  <si>
    <t xml:space="preserve">Do courses in the Computer Science foundation year count toward the 180 specialization credits?</t>
  </si>
  <si>
    <t xml:space="preserve">No, the foundation year carries no degree credits; the 180 credits are accumulated across the 6 specialization semesters.</t>
  </si>
  <si>
    <t xml:space="preserve">Retrieval benchmark query (base ID: q_neg_04, original language: vi, style/type: formal/answerable_negation, target groups: cse-curriculum). The source does not specify an applicable year.</t>
  </si>
  <si>
    <t xml:space="preserve">q_neg_04_de</t>
  </si>
  <si>
    <t xml:space="preserve">Werden die Kurse des Orientierungsjahres in Informatik auf die 180 Leistungspunkte des Fachstudiums angerechnet?</t>
  </si>
  <si>
    <t xml:space="preserve">Nein, das Orientierungsjahr umfasst keine Fachstudien-Credits; die 180 Leistungspunkte werden in den 6 Fachsemestern erworben.</t>
  </si>
  <si>
    <t xml:space="preserve">Retrieval-Benchmarkfrage (Basis-ID: q_neg_04, Originalsprache: vi, Stil/Typ: formal/answerable_negation, Zielgruppen: cse-curriculum). Die Quelle gibt kein geltendes Jahr an.</t>
  </si>
  <si>
    <t xml:space="preserve">q_neg_05_vi</t>
  </si>
  <si>
    <t xml:space="preserve">Chương trình Khoa học máy tính có hợp tác với các trường đại học tại Mỹ hoặc Anh theo thông tin tổng quan không?</t>
  </si>
  <si>
    <t xml:space="preserve">Không, các trường đại học đối tác đều đặt tại Đức: Frankfurt UAS, TH Köln và Bonn-Rhein-Sieg UAS.</t>
  </si>
  <si>
    <t xml:space="preserve">Câu hỏi đánh giá truy xuất (mã gốc: q_neg_05, ngôn ngữ gốc: en, kiểu: formal/answerable_negation, nhóm nguồn: cse-overview). Nguồn không ghi rõ năm áp dụng.</t>
  </si>
  <si>
    <t xml:space="preserve">q_neg_05</t>
  </si>
  <si>
    <t xml:space="preserve">q_neg_05_en</t>
  </si>
  <si>
    <t xml:space="preserve">Does the Computer Science program partner with universities in the US or UK according to the overview?</t>
  </si>
  <si>
    <t xml:space="preserve">No, partner universities are located in Germany: Frankfurt UAS, TH Köln, and Bonn-Rhein-Sieg UAS.</t>
  </si>
  <si>
    <t xml:space="preserve">Retrieval benchmark query (base ID: q_neg_05, original language: en, style/type: formal/answerable_negation, target groups: cse-overview). The source does not specify an applicable year.</t>
  </si>
  <si>
    <t xml:space="preserve">q_neg_05_de</t>
  </si>
  <si>
    <t xml:space="preserve">Kooperiert der Studiengang Informatik laut Studienüberblick mit Universitäten in den USA oder Großbritannien?</t>
  </si>
  <si>
    <t xml:space="preserve">Nein, die Partnerhochschulen befinden sich in Deutschland: Frankfurt UAS, TH Köln und Hochschule Bonn-Rhein-Sieg.</t>
  </si>
  <si>
    <t xml:space="preserve">Retrieval-Benchmarkfrage (Basis-ID: q_neg_05, Originalsprache: en, Stil/Typ: formal/answerable_negation, Zielgruppen: cse-overview). Die Quelle gibt kein geltendes Jahr an.</t>
  </si>
  <si>
    <t xml:space="preserve">q_neg_06_vi</t>
  </si>
  <si>
    <t xml:space="preserve">Các hướng nghề nghiệp liệt kê cho sinh viên tốt nghiệp Khoa học máy tính có bao gồm kỹ thuật điện phần cứng hay hệ thống điện công nghiệp không?</t>
  </si>
  <si>
    <t xml:space="preserve">Kỹ thuật điện phần cứng và hệ thống điện công nghiệp không nằm trong danh sách các hướng nghề nghiệp của sinh viên tốt nghiệp Khoa học máy tính.</t>
  </si>
  <si>
    <t xml:space="preserve">Câu hỏi đánh giá truy xuất (mã gốc: q_neg_06, ngôn ngữ gốc: en, kiểu: formal/answerable_negation, nhóm nguồn: cse-careers). Nguồn không ghi rõ năm áp dụng.</t>
  </si>
  <si>
    <t xml:space="preserve">q_neg_06</t>
  </si>
  <si>
    <t xml:space="preserve">q_neg_06_en</t>
  </si>
  <si>
    <t xml:space="preserve">Do the career pathways listed for Computer Science graduates include hardware electrical engineering or industrial power systems?</t>
  </si>
  <si>
    <t xml:space="preserve">Hardware electrical engineering and industrial power systems are not listed among the career pathways for Computer Science graduates.</t>
  </si>
  <si>
    <t xml:space="preserve">Retrieval benchmark query (base ID: q_neg_06, original language: en, style/type: formal/answerable_negation, target groups: cse-careers). The source does not specify an applicable year.</t>
  </si>
  <si>
    <t xml:space="preserve">q_neg_06_de</t>
  </si>
  <si>
    <t xml:space="preserve">Gehören Hardware-Elektrotechnik oder industrielle Energiesysteme zu den aufgeführten Berufsfeldern für Informatikabsolventen?</t>
  </si>
  <si>
    <t xml:space="preserve">Hardware-Elektrotechnik und industrielle Energiesysteme sind nicht unter den Berufsfeldern für Informatikabsolventen aufgeführt.</t>
  </si>
  <si>
    <t xml:space="preserve">Retrieval-Benchmarkfrage (Basis-ID: q_neg_06, Originalsprache: en, Stil/Typ: formal/answerable_negation, Zielgruppen: cse-careers). Die Quelle gibt kein geltendes Jahr an.</t>
  </si>
  <si>
    <t xml:space="preserve">q_neg_07_vi</t>
  </si>
  <si>
    <t xml:space="preserve">Học sinh tốt nghiệp trường THPT thường trong nước không có chứng chỉ quốc tế có được miễn yêu cầu tiếng Anh ngành Khoa học máy tính không?</t>
  </si>
  <si>
    <t xml:space="preserve">Không, quy định miễn tiếng Anh chỉ áp dụng cho thí sinh từ các quốc gia nói tiếng Anh hoặc tốt nghiệp trường quốc tế giảng dạy hoàn toàn bằng tiếng Anh.</t>
  </si>
  <si>
    <t xml:space="preserve">Câu hỏi đánh giá truy xuất (mã gốc: q_neg_07, ngôn ngữ gốc: de, kiểu: formal/answerable_negation, nhóm nguồn: cse-admissions). Áp dụng cho khóa/năm 2026.</t>
  </si>
  <si>
    <t xml:space="preserve">q_neg_07</t>
  </si>
  <si>
    <t xml:space="preserve">q_neg_07_en</t>
  </si>
  <si>
    <t xml:space="preserve">Can graduates of regular domestic high schools without an international certificate be exempted from the English requirement for Computer Science?</t>
  </si>
  <si>
    <t xml:space="preserve">No, exemption applies only to applicants from English-speaking countries or graduates of international high schools taught entirely in English.</t>
  </si>
  <si>
    <t xml:space="preserve">Retrieval benchmark query (base ID: q_neg_07, original language: de, style/type: formal/answerable_negation, target groups: cse-admissions). For intake/admission year 2026.</t>
  </si>
  <si>
    <t xml:space="preserve">q_neg_07_de</t>
  </si>
  <si>
    <t xml:space="preserve">Können Absolventen inländischer Regelschulen ohne internationales Zertifikat von der Englischanforderung für Informatik befreit werden?</t>
  </si>
  <si>
    <t xml:space="preserve">Nein, eine Befreiung gilt nur für Bewerber aus englischsprachigen Ländern oder Absolventen vollständig englischsprachiger internationaler Schulen.</t>
  </si>
  <si>
    <t xml:space="preserve">Retrieval-Benchmarkfrage (Basis-ID: q_neg_07, Originalsprache: de, Stil/Typ: formal/answerable_negation, Zielgruppen: cse-admissions). Gilt für den Jahrgang / das Zulassungsjahr 2026.</t>
  </si>
  <si>
    <t xml:space="preserve">q_form_01_vi</t>
  </si>
  <si>
    <t xml:space="preserve">Chương trình Cử nhân Khoa học máy tính gồm bao nhiêu tín chỉ và đào tạo trong bao nhiêu năm?</t>
  </si>
  <si>
    <t xml:space="preserve">Chương trình đào tạo trong 4 năm gồm 180 tín chỉ.</t>
  </si>
  <si>
    <t xml:space="preserve">Câu hỏi đánh giá truy xuất (mã gốc: q_form_01, ngôn ngữ gốc: vi, kiểu: formal/single_hop, nhóm nguồn: cse-curriculum). Nguồn không ghi rõ năm áp dụng.</t>
  </si>
  <si>
    <t xml:space="preserve">q_form_01</t>
  </si>
  <si>
    <t xml:space="preserve">q_form_01_en</t>
  </si>
  <si>
    <t xml:space="preserve">How many credits and how many years does the Bachelor of Computer Science program take?</t>
  </si>
  <si>
    <t xml:space="preserve">The program is taught over 4 years and comprises 180 credits.</t>
  </si>
  <si>
    <t xml:space="preserve">Retrieval benchmark query (base ID: q_form_01, original language: vi, style/type: formal/single_hop, target groups: cse-curriculum). The source does not specify an applicable year.</t>
  </si>
  <si>
    <t xml:space="preserve">q_form_01_de</t>
  </si>
  <si>
    <t xml:space="preserve">Wie viele Leistungspunkte umfasst der Bachelorstudiengang Informatik und wie viele Jahre dauert das Studium?</t>
  </si>
  <si>
    <t xml:space="preserve">Das Studienprogramm dauert 4 Jahre und umfasst 180 Leistungspunkte.</t>
  </si>
  <si>
    <t xml:space="preserve">Retrieval-Benchmarkfrage (Basis-ID: q_form_01, Originalsprache: vi, Stil/Typ: formal/single_hop, Zielgruppen: cse-curriculum). Die Quelle gibt kein geltendes Jahr an.</t>
  </si>
  <si>
    <t xml:space="preserve">q_form_02_vi</t>
  </si>
  <si>
    <t xml:space="preserve">Chương trình Cử nhân Khoa học máy tính hợp tác với những trường đại học nào tại Đức?</t>
  </si>
  <si>
    <t xml:space="preserve">Hợp tác với 3 trường: Frankfurt UAS, TH Köln và Bonn-Rhein-Sieg UAS.</t>
  </si>
  <si>
    <t xml:space="preserve">Câu hỏi đánh giá truy xuất (mã gốc: q_form_02, ngôn ngữ gốc: vi, kiểu: formal/single_hop, nhóm nguồn: cse-overview). Nguồn không ghi rõ năm áp dụng.</t>
  </si>
  <si>
    <t xml:space="preserve">q_form_02</t>
  </si>
  <si>
    <t xml:space="preserve">q_form_02_en</t>
  </si>
  <si>
    <t xml:space="preserve">Which universities in Germany does the Bachelor of Computer Science program partner with?</t>
  </si>
  <si>
    <t xml:space="preserve">It partners with 3 universities: Frankfurt UAS, TH Köln, and Bonn-Rhein-Sieg UAS.</t>
  </si>
  <si>
    <t xml:space="preserve">Retrieval benchmark query (base ID: q_form_02, original language: vi, style/type: formal/single_hop, target groups: cse-overview). The source does not specify an applicable year.</t>
  </si>
  <si>
    <t xml:space="preserve">q_form_02_de</t>
  </si>
  <si>
    <t xml:space="preserve">Mit welchen Hochschulen in Deutschland kooperiert der Bachelorstudiengang Informatik?</t>
  </si>
  <si>
    <t xml:space="preserve">Er kooperiert mit 3 Hochschulen: Frankfurt UAS, TH Köln und Hochschule Bonn-Rhein-Sieg.</t>
  </si>
  <si>
    <t xml:space="preserve">Retrieval-Benchmarkfrage (Basis-ID: q_form_02, Originalsprache: vi, Stil/Typ: formal/single_hop, Zielgruppen: cse-overview). Die Quelle gibt kein geltendes Jahr an.</t>
  </si>
  <si>
    <t xml:space="preserve">q_form_03_vi</t>
  </si>
  <si>
    <t xml:space="preserve">Các bước nộp hồ sơ xét tuyển ngành Khoa học máy tính gồm những bước nào?</t>
  </si>
  <si>
    <t xml:space="preserve">Gồm 4 bước: 1 Đăng ký tài khoản, 2 Nộp minh chứng, 3 Đánh giá năng lực, 4 Thông báo và xác nhận nhập học.</t>
  </si>
  <si>
    <t xml:space="preserve">Câu hỏi đánh giá truy xuất (mã gốc: q_form_03, ngôn ngữ gốc: vi, kiểu: formal/multi_constraint, nhóm nguồn: cse-application-steps). Áp dụng cho khóa/năm 2026.</t>
  </si>
  <si>
    <t xml:space="preserve">q_form_03</t>
  </si>
  <si>
    <t xml:space="preserve">q_form_03_en</t>
  </si>
  <si>
    <t xml:space="preserve">What are the steps for submitting an admission application for Computer Science?</t>
  </si>
  <si>
    <t xml:space="preserve">It consists of 4 steps: 1 Account registration, 2 Document submission, 3 Aptitude assessment, and 4 Notification and enrollment confirmation.</t>
  </si>
  <si>
    <t xml:space="preserve">Retrieval benchmark query (base ID: q_form_03, original language: vi, style/type: formal/multi_constraint, target groups: cse-application-steps). For intake/admission year 2026.</t>
  </si>
  <si>
    <t xml:space="preserve">q_form_03_de</t>
  </si>
  <si>
    <t xml:space="preserve">Aus welchen Schritten besteht das Bewerbungsverfahren für den Studiengang Informatik?</t>
  </si>
  <si>
    <t xml:space="preserve">Es umfasst 4 Schritte: 1 Online-Registrierung, 2 Einreichung von Nachweisen, 3 Eignungsfeststellung und 4 Zulassungsbescheid sowie Immatrikulationsbestätigung.</t>
  </si>
  <si>
    <t xml:space="preserve">Retrieval-Benchmarkfrage (Basis-ID: q_form_03, Originalsprache: vi, Stil/Typ: formal/multi_constraint, Zielgruppen: cse-application-steps). Gilt für den Jahrgang / das Zulassungsjahr 2026.</t>
  </si>
  <si>
    <t xml:space="preserve">q_form_04_vi</t>
  </si>
  <si>
    <t xml:space="preserve">Chuẩn đầu ra tiếng Anh để tốt nghiệp Cử nhân Khoa học máy tính là bao nhiêu?</t>
  </si>
  <si>
    <t xml:space="preserve">Chuẩn đầu ra tiếng Anh tốt nghiệp tối thiểu tương đương IELTS 6.0.</t>
  </si>
  <si>
    <t xml:space="preserve">Câu hỏi đánh giá truy xuất (mã gốc: q_form_04, ngôn ngữ gốc: vi, kiểu: formal/single_hop, nhóm nguồn: cse-graduation). Nguồn không ghi rõ năm áp dụng.</t>
  </si>
  <si>
    <t xml:space="preserve">q_form_04</t>
  </si>
  <si>
    <t xml:space="preserve">q_form_04_en</t>
  </si>
  <si>
    <t xml:space="preserve">What is the exit English proficiency requirement to graduate with a Bachelor of Computer Science?</t>
  </si>
  <si>
    <t xml:space="preserve">The minimum exit English proficiency standard for graduation is equivalent to IELTS 6.0.</t>
  </si>
  <si>
    <t xml:space="preserve">Retrieval benchmark query (base ID: q_form_04, original language: vi, style/type: formal/single_hop, target groups: cse-graduation). The source does not specify an applicable year.</t>
  </si>
  <si>
    <t xml:space="preserve">q_form_04_de</t>
  </si>
  <si>
    <t xml:space="preserve">Welches Englischniveau ist als Abschlussvoraussetzung für den Bachelor in Informatik erforderlich?</t>
  </si>
  <si>
    <t xml:space="preserve">Die sprachliche Mindestanforderung für den Studienabschluss entspricht mindestens IELTS 6.0.</t>
  </si>
  <si>
    <t xml:space="preserve">Retrieval-Benchmarkfrage (Basis-ID: q_form_04, Originalsprache: vi, Stil/Typ: formal/single_hop, Zielgruppen: cse-graduation). Die Quelle gibt kein geltendes Jahr an.</t>
  </si>
  <si>
    <t xml:space="preserve">q_form_05_vi</t>
  </si>
  <si>
    <t xml:space="preserve">Tổng số tín chỉ yêu cầu để tốt nghiệp Cử nhân Khoa học máy tính là bao nhiêu?</t>
  </si>
  <si>
    <t xml:space="preserve">Tốt nghiệp yêu cầu tích lũy tối thiểu 180 tín chỉ ECTS trong 4 năm.</t>
  </si>
  <si>
    <t xml:space="preserve">Câu hỏi đánh giá truy xuất (mã gốc: q_form_05, ngôn ngữ gốc: en, kiểu: formal/single_hop, nhóm nguồn: cse-graduation, cse-curriculum). Nguồn không ghi rõ năm áp dụng.</t>
  </si>
  <si>
    <t xml:space="preserve">q_form_05</t>
  </si>
  <si>
    <t xml:space="preserve">q_form_05_en</t>
  </si>
  <si>
    <t xml:space="preserve">How many total credits are required for graduation with a Bachelor of Computer Science?</t>
  </si>
  <si>
    <t xml:space="preserve">Graduation requires a minimum of 180 ECTS credits over 4 years.</t>
  </si>
  <si>
    <t xml:space="preserve">Retrieval benchmark query (base ID: q_form_05, original language: en, style/type: formal/single_hop, target groups: cse-graduation, cse-curriculum). The source does not specify an applicable year.</t>
  </si>
  <si>
    <t xml:space="preserve">q_form_05_de</t>
  </si>
  <si>
    <t xml:space="preserve">Wie viele Leistungspunkte sind insgesamt für den Abschluss des Bachelorstudiums Informatik erforderlich?</t>
  </si>
  <si>
    <t xml:space="preserve">Für den Studienabschluss sind mindestens 180 ECTS-Leistungspunkte über 4 Jahre erforderlich.</t>
  </si>
  <si>
    <t xml:space="preserve">Retrieval-Benchmarkfrage (Basis-ID: q_form_05, Originalsprache: en, Stil/Typ: formal/single_hop, Zielgruppen: cse-graduation, cse-curriculum). Die Quelle gibt kein geltendes Jahr an.</t>
  </si>
  <si>
    <t xml:space="preserve">q_form_06_vi</t>
  </si>
  <si>
    <t xml:space="preserve">Các bước đăng ký nhập học chương trình Khoa học máy tính tại VGU là gì?</t>
  </si>
  <si>
    <t xml:space="preserve">Gồm 4 bước: Đăng ký trực tuyến, Nộp hồ sơ minh chứng, Đánh giá năng lực, Thông báo và xác nhận nhập học.</t>
  </si>
  <si>
    <t xml:space="preserve">Câu hỏi đánh giá truy xuất (mã gốc: q_form_06, ngôn ngữ gốc: en, kiểu: formal/multi_constraint, nhóm nguồn: cse-application-steps). Áp dụng cho khóa/năm 2026.</t>
  </si>
  <si>
    <t xml:space="preserve">q_form_06</t>
  </si>
  <si>
    <t xml:space="preserve">q_form_06_en</t>
  </si>
  <si>
    <t xml:space="preserve">What are the application steps to enroll in the Computer Science program at VGU?</t>
  </si>
  <si>
    <t xml:space="preserve">4 steps: Online registration, Document submission, Aptitude assessment, Notification &amp; confirmation.</t>
  </si>
  <si>
    <t xml:space="preserve">Retrieval benchmark query (base ID: q_form_06, original language: en, style/type: formal/multi_constraint, target groups: cse-application-steps). For intake/admission year 2026.</t>
  </si>
  <si>
    <t xml:space="preserve">q_form_06_de</t>
  </si>
  <si>
    <t xml:space="preserve">Welche Bewerbungsschritte sind für die Einschreibung in das Informatikprogramm an der VGU erforderlich?</t>
  </si>
  <si>
    <t xml:space="preserve">4 Schritte: Online-Registrierung, Einreichung von Unterlagen, Eignungsfeststellung sowie Zulassungsbescheid und Bestätigung.</t>
  </si>
  <si>
    <t xml:space="preserve">Retrieval-Benchmarkfrage (Basis-ID: q_form_06, Originalsprache: en, Stil/Typ: formal/multi_constraint, Zielgruppen: cse-application-steps). Gilt für den Jahrgang / das Zulassungsjahr 2026.</t>
  </si>
  <si>
    <t xml:space="preserve">q_form_07_vi</t>
  </si>
  <si>
    <t xml:space="preserve">Những trường đại học đối tác Đức nào hợp tác với VGU trong ngành Khoa học máy tính?</t>
  </si>
  <si>
    <t xml:space="preserve">Các trường đối tác là Frankfurt UAS, TH Köln và Đại học Khoa học Ứng dụng Bonn-Rhein-Sieg.</t>
  </si>
  <si>
    <t xml:space="preserve">Câu hỏi đánh giá truy xuất (mã gốc: q_form_07, ngôn ngữ gốc: de, kiểu: formal/single_hop, nhóm nguồn: cse-overview). Nguồn không ghi rõ năm áp dụng.</t>
  </si>
  <si>
    <t xml:space="preserve">q_form_07</t>
  </si>
  <si>
    <t xml:space="preserve">q_form_07_en</t>
  </si>
  <si>
    <t xml:space="preserve">Which German partner universities cooperate with VGU in the Computer Science program?</t>
  </si>
  <si>
    <t xml:space="preserve">The partner universities are Frankfurt UAS, TH Köln, and Bonn-Rhein-Sieg University of Applied Sciences.</t>
  </si>
  <si>
    <t xml:space="preserve">Retrieval benchmark query (base ID: q_form_07, original language: de, style/type: formal/single_hop, target groups: cse-overview). The source does not specify an applicable year.</t>
  </si>
  <si>
    <t xml:space="preserve">q_form_07_de</t>
  </si>
  <si>
    <t xml:space="preserve">Welche deutschen Partnerhochschulen kooperieren mit der VGU im Studiengang Informatik?</t>
  </si>
  <si>
    <t xml:space="preserve">Partnerhochschulen sind die Frankfurt UAS, TH Köln und Hochschule Bonn-Rhein-Sieg.</t>
  </si>
  <si>
    <t xml:space="preserve">Retrieval-Benchmarkfrage (Basis-ID: q_form_07, Originalsprache: de, Stil/Typ: formal/single_hop, Zielgruppen: cse-overview). Die Quelle gibt kein geltendes Jahr an.</t>
  </si>
  <si>
    <t xml:space="preserve">q_form_08_vi</t>
  </si>
  <si>
    <t xml:space="preserve">Những môn học cốt lõi nào được giảng dạy trong năm thứ 2 ngành Khoa học máy tính?</t>
  </si>
  <si>
    <t xml:space="preserve">Các môn cốt lõi năm thứ 2 gồm Cơ sở dữ liệu, Kỹ thuật phần mềm, Mạng máy tính và Lập trình Java.</t>
  </si>
  <si>
    <t xml:space="preserve">Câu hỏi đánh giá truy xuất (mã gốc: q_form_08, ngôn ngữ gốc: de, kiểu: formal/single_hop, nhóm nguồn: cse-curriculum). Nguồn không ghi rõ năm áp dụng.</t>
  </si>
  <si>
    <t xml:space="preserve">q_form_08</t>
  </si>
  <si>
    <t xml:space="preserve">q_form_08_en</t>
  </si>
  <si>
    <t xml:space="preserve">Which core subjects are taught in the 2nd year of Computer Science?</t>
  </si>
  <si>
    <t xml:space="preserve">Core subjects in the 2nd year are Databases, Software Engineering, Computer Networks, and Java programming.</t>
  </si>
  <si>
    <t xml:space="preserve">Retrieval benchmark query (base ID: q_form_08, original language: de, style/type: formal/single_hop, target groups: cse-curriculum). The source does not specify an applicable year.</t>
  </si>
  <si>
    <t xml:space="preserve">q_form_08_de</t>
  </si>
  <si>
    <t xml:space="preserve">Welche Kernfächer werden im 2. Studienjahr der Informatik unterrichtet?</t>
  </si>
  <si>
    <t xml:space="preserve">Kernfächer im 2. Studienjahr sind Datenbanken, Softwaretechnik, Rechnernetze und Java-Programmierung.</t>
  </si>
  <si>
    <t xml:space="preserve">Retrieval-Benchmarkfrage (Basis-ID: q_form_08, Originalsprache: de, Stil/Typ: formal/single_hop, Zielgruppen: cse-curriculum). Die Quelle gibt kein geltendes Jahr an.</t>
  </si>
  <si>
    <t xml:space="preserve">q_cross_01_vi</t>
  </si>
  <si>
    <t xml:space="preserve">Tôi có IELTS 5.5, chương trình học kéo dài bao lâu và tôi có thể du học tại Đức không?</t>
  </si>
  <si>
    <t xml:space="preserve">Với IELTS 5.5, bạn đã đạt ngưỡng đầu vào (≥ 5.0). Chương trình kéo dài 4 năm (180 tín chỉ) và sinh viên năm cuối có thể sang Đức học tập với sự hỗ trợ của học bổng DAAD.</t>
  </si>
  <si>
    <t xml:space="preserve">Câu hỏi đánh giá truy xuất (mã gốc: q_cross_01, ngôn ngữ gốc: en, kiểu: formal/cross_chunk, nhóm nguồn: cse-admissions, cse-curriculum). Áp dụng cho khóa/năm 2026.</t>
  </si>
  <si>
    <t xml:space="preserve">q_cross_01</t>
  </si>
  <si>
    <t xml:space="preserve">q_cross_01_en</t>
  </si>
  <si>
    <t xml:space="preserve">I have IELTS 5.5, how long is the program and can I study in Germany?</t>
  </si>
  <si>
    <t xml:space="preserve">With IELTS 5.5 you meet the entry threshold (≥ 5.0). The program lasts 4 years (180 credits), and final-year students can study in Germany with DAAD support.</t>
  </si>
  <si>
    <t xml:space="preserve">Retrieval benchmark query (base ID: q_cross_01, original language: en, style/type: formal/cross_chunk, target groups: cse-admissions, cse-curriculum). For intake/admission year 2026.</t>
  </si>
  <si>
    <t xml:space="preserve">q_cross_01_de</t>
  </si>
  <si>
    <t xml:space="preserve">Ich habe IELTS 5.5 – wie lange dauert das Studium und kann ich in Deutschland studieren?</t>
  </si>
  <si>
    <t xml:space="preserve">Mit IELTS 5.5 erfüllen Sie die Zulassungsschwelle (≥ 5.0). Das Studium dauert 4 Jahre (180 Credits) und Studierende im letzten Studienjahr können mit DAAD-Förderung in Deutschland studieren.</t>
  </si>
  <si>
    <t xml:space="preserve">Retrieval-Benchmarkfrage (Basis-ID: q_cross_01, Originalsprache: en, Stil/Typ: formal/cross_chunk, Zielgruppen: cse-admissions, cse-curriculum). Gilt für den Jahrgang / das Zulassungsjahr 2026.</t>
  </si>
  <si>
    <t xml:space="preserve">q_cross_02_vi</t>
  </si>
  <si>
    <t xml:space="preserve">Nếu tôi trúng tuyển ngành Khoa học máy tính bằng phương thức TestAS và nhận học bổng tài năng 50%, mức học phí học kỳ đầu tiên phải đóng là bao nhiêu?</t>
  </si>
  <si>
    <t xml:space="preserve">Học phí gốc là 43.700.000 VND/kỳ, được giảm 50% còn 21.850.000 VND cho học kỳ đầu.</t>
  </si>
  <si>
    <t xml:space="preserve">Câu hỏi đánh giá truy xuất (mã gốc: q_cross_02, ngôn ngữ gốc: vi, kiểu: formal/cross_chunk, nhóm nguồn: cse-admissions, cse-tuition, cse-scholarships). Áp dụng cho khóa/năm 2026.</t>
  </si>
  <si>
    <t xml:space="preserve">q_cross_02</t>
  </si>
  <si>
    <t xml:space="preserve">q_cross_02_en</t>
  </si>
  <si>
    <t xml:space="preserve">If I am admitted to Computer Science via the TestAS method and receive a 50% Talent Scholarship, how much tuition do I pay for the first semester?</t>
  </si>
  <si>
    <t xml:space="preserve">The standard tuition is 43,700,000 VND/semester; with a 50% reduction, it comes to 21,850,000 VND for the first semester.</t>
  </si>
  <si>
    <t xml:space="preserve">Retrieval benchmark query (base ID: q_cross_02, original language: vi, style/type: formal/cross_chunk, target groups: cse-admissions, cse-tuition, cse-scholarships). For intake/admission year 2026.</t>
  </si>
  <si>
    <t xml:space="preserve">q_cross_02_de</t>
  </si>
  <si>
    <t xml:space="preserve">Wenn ich über das TestAS-Verfahren für Informatik zugelassen werde und ein 50-%-Begabtenstipendium erhalte, wie hoch ist dann die Studiengebühr im ersten Semester?</t>
  </si>
  <si>
    <t xml:space="preserve">Die reguläre Studiengebühr beträgt 43.700.000 VND/Semester; durch die 50-%-Ermäßigung reduziert sie sich im ersten Semester auf 21.850.000 VND.</t>
  </si>
  <si>
    <t xml:space="preserve">Retrieval-Benchmarkfrage (Basis-ID: q_cross_02, Originalsprache: vi, Stil/Typ: formal/cross_chunk, Zielgruppen: cse-admissions, cse-tuition, cse-scholarships). Gilt für den Jahrgang / das Zulassungsjahr 2026.</t>
  </si>
  <si>
    <t xml:space="preserve">q_cross_03_vi</t>
  </si>
  <si>
    <t xml:space="preserve">Sinh viên muốn tham gia học kỳ trao đổi và làm luận văn tại Đức vào năm cuối thì chương trình học phân bổ các năm trước thế nào và có hỗ trợ tài chính gì?</t>
  </si>
  <si>
    <t xml:space="preserve">Các năm trước học cơ sở và môn cốt lõi; năm cuối sang Đức được tài trợ học bổng DAAD toàn phần hoặc bán phần.</t>
  </si>
  <si>
    <t xml:space="preserve">Câu hỏi đánh giá truy xuất (mã gốc: q_cross_03, ngôn ngữ gốc: vi, kiểu: formal/cross_chunk, nhóm nguồn: cse-curriculum, cse-scholarships). Nguồn không ghi rõ năm áp dụng.</t>
  </si>
  <si>
    <t xml:space="preserve">q_cross_03</t>
  </si>
  <si>
    <t xml:space="preserve">q_cross_03_en</t>
  </si>
  <si>
    <t xml:space="preserve">If a student wants to join an exchange semester and write their thesis in Germany in the final year, how are the preceding years structured and what financial support is available?</t>
  </si>
  <si>
    <t xml:space="preserve">The preceding years cover foundation and core computer science modules; in the final year, students going to Germany can receive full or partial DAAD scholarships.</t>
  </si>
  <si>
    <t xml:space="preserve">Retrieval benchmark query (base ID: q_cross_03, original language: vi, style/type: formal/cross_chunk, target groups: cse-curriculum, cse-scholarships). The source does not specify an applicable year.</t>
  </si>
  <si>
    <t xml:space="preserve">q_cross_03_de</t>
  </si>
  <si>
    <t xml:space="preserve">Wenn Studierende im letzten Studienjahr ein Auslandssemester und die Bachelorarbeit in Deutschland absolvieren möchten, wie sind die Vorjahre aufgebaut und welche finanzielle Förderung gibt es?</t>
  </si>
  <si>
    <t xml:space="preserve">In den Vorjahren werden Grundlagen- und Kernfächer vermittelt; im letzten Jahr wird der Deutschlandaufenthalt durch Voll- oder Teilstipendien des DAAD gefördert.</t>
  </si>
  <si>
    <t xml:space="preserve">Retrieval-Benchmarkfrage (Basis-ID: q_cross_03, Originalsprache: vi, Stil/Typ: formal/cross_chunk, Zielgruppen: cse-curriculum, cse-scholarships). Die Quelle gibt kein geltendes Jahr an.</t>
  </si>
  <si>
    <t xml:space="preserve">q_cross_04_vi</t>
  </si>
  <si>
    <t xml:space="preserve">Thời gian đào tạo ngành Khoa học máy tính là bao lâu, có bao nhiêu tín chỉ và nếu ở ký túc xá phòng 2 người thì chi phí lưu trú một tháng là bao nhiêu?</t>
  </si>
  <si>
    <t xml:space="preserve">Thời lượng là 4 năm (180 tín chỉ), chi phí ký túc xá phòng 2 người là 1.200.000 VND/tháng.</t>
  </si>
  <si>
    <t xml:space="preserve">Câu hỏi đánh giá truy xuất (mã gốc: q_cross_04, ngôn ngữ gốc: vi, kiểu: formal/cross_chunk, nhóm nguồn: cse-curriculum, cse-dorms-campus). Nguồn không ghi rõ năm áp dụng.</t>
  </si>
  <si>
    <t xml:space="preserve">q_cross_04</t>
  </si>
  <si>
    <t xml:space="preserve">q_cross_04_en</t>
  </si>
  <si>
    <t xml:space="preserve">How long is the Computer Science program, how many credits does it have, and how much is the monthly fee for a 2-person dormitory room?</t>
  </si>
  <si>
    <t xml:space="preserve">The program duration is 4 years (180 credits), and the 2-person dormitory room fee is 1,200,000 VND/month.</t>
  </si>
  <si>
    <t xml:space="preserve">Retrieval benchmark query (base ID: q_cross_04, original language: vi, style/type: formal/cross_chunk, target groups: cse-curriculum, cse-dorms-campus). The source does not specify an applicable year.</t>
  </si>
  <si>
    <t xml:space="preserve">q_cross_04_de</t>
  </si>
  <si>
    <t xml:space="preserve">Wie lange dauert das Informatikstudium, wie viele Credits umfasst es und wie hoch sind die monatlichen Kosten für ein 2-Bett-Zimmer im Wohnheim?</t>
  </si>
  <si>
    <t xml:space="preserve">Die Studiendauer beträgt 4 Jahre (180 Credits) und die Wohnheimgebühr für ein 2-Bett-Zimmer liegt bei 1.200.000 VND/Monat.</t>
  </si>
  <si>
    <t xml:space="preserve">Retrieval-Benchmarkfrage (Basis-ID: q_cross_04, Originalsprache: vi, Stil/Typ: formal/cross_chunk, Zielgruppen: cse-curriculum, cse-dorms-campus). Die Quelle gibt kein geltendes Jahr an.</t>
  </si>
  <si>
    <t xml:space="preserve">q_cross_05_vi</t>
  </si>
  <si>
    <t xml:space="preserve">Yêu cầu tổng số tín chỉ và thời gian đào tạo tiêu chuẩn của ngành Khoa học máy tính là bao nhiêu, và phí đào tạo của trường đối tác Đức là bao nhiêu?</t>
  </si>
  <si>
    <t xml:space="preserve">Chương trình kéo dài 4 năm với 180 tín chỉ; phí đào tạo của trường đối tác tại Đức là 560 EUR/sinh viên.</t>
  </si>
  <si>
    <t xml:space="preserve">Câu hỏi đánh giá truy xuất (mã gốc: q_cross_05, ngôn ngữ gốc: en, kiểu: formal/cross_chunk, nhóm nguồn: cse-curriculum, cse-tuition). Áp dụng cho khóa/năm 2026.</t>
  </si>
  <si>
    <t xml:space="preserve">q_cross_05</t>
  </si>
  <si>
    <t xml:space="preserve">q_cross_05_en</t>
  </si>
  <si>
    <t xml:space="preserve">What are the total credit requirements and standard study duration for Computer Science, and how much is the partner university training fee in Germany?</t>
  </si>
  <si>
    <t xml:space="preserve">The program lasts 4 years with 180 credits; the partner training fee in Germany is 560 EUR/student.</t>
  </si>
  <si>
    <t xml:space="preserve">Retrieval benchmark query (base ID: q_cross_05, original language: en, style/type: formal/cross_chunk, target groups: cse-curriculum, cse-tuition). For intake/admission year 2026.</t>
  </si>
  <si>
    <t xml:space="preserve">q_cross_05_de</t>
  </si>
  <si>
    <t xml:space="preserve">Wie hoch sind die Gesamtzahl der Leistungspunkte und die Regelstudienzeit für Informatik, und wie viel beträgt die Ausbildungsgebühr der deutschen Partnerhochschule?</t>
  </si>
  <si>
    <t xml:space="preserve">Das Studium dauert 4 Jahre mit 180 Leistungspunkten; die Ausbildungsgebühr der deutschen Partnerhochschule beträgt 560 EUR/Studierender.</t>
  </si>
  <si>
    <t xml:space="preserve">Retrieval-Benchmarkfrage (Basis-ID: q_cross_05, Originalsprache: en, Stil/Typ: formal/cross_chunk, Zielgruppen: cse-curriculum, cse-tuition). Gilt für den Jahrgang / das Zulassungsjahr 2026.</t>
  </si>
  <si>
    <t xml:space="preserve">q_cross_06_vi</t>
  </si>
  <si>
    <t xml:space="preserve">Điều kiện trúng tuyển (điểm chuẩn và chứng chỉ ngoại ngữ) ngành Khoa học máy tính là gì và chương trình hợp tác với những trường đại học Đức nào?</t>
  </si>
  <si>
    <t xml:space="preserve">Trúng tuyển yêu cầu 20.0 điểm (THPT M5) hoặc 90 điểm (TestAS M1) và IELTS ≥ 5.0; các trường đối tác là Frankfurt UAS, TH Köln và Bonn-Rhein-Sieg UAS.</t>
  </si>
  <si>
    <t xml:space="preserve">Câu hỏi đánh giá truy xuất (mã gốc: q_cross_06, ngôn ngữ gốc: de, kiểu: formal/cross_chunk, nhóm nguồn: cse-admissions, cse-overview). Áp dụng cho khóa/năm 2026.</t>
  </si>
  <si>
    <t xml:space="preserve">q_cross_06</t>
  </si>
  <si>
    <t xml:space="preserve">q_cross_06_en</t>
  </si>
  <si>
    <t xml:space="preserve">What admission requirements (cutoff scores and language proficiency) apply to Computer Science, and which German universities does the program cooperate with?</t>
  </si>
  <si>
    <t xml:space="preserve">Admission requires 20.0 points (THPT M5) or 90 points (TestAS M1) and IELTS ≥ 5.0; partners are Frankfurt UAS, TH Köln, and Bonn-Rhein-Sieg UAS.</t>
  </si>
  <si>
    <t xml:space="preserve">Retrieval benchmark query (base ID: q_cross_06, original language: de, style/type: formal/cross_chunk, target groups: cse-admissions, cse-overview). For intake/admission year 2026.</t>
  </si>
  <si>
    <t xml:space="preserve">q_cross_06_de</t>
  </si>
  <si>
    <t xml:space="preserve">Welche Zulassungsvoraussetzungen (Punkte und Sprachnachweis) gelten für Informatik und mit welchen deutschen Hochschulen kooperiert das Programm?</t>
  </si>
  <si>
    <t xml:space="preserve">Zulassung erfordert 20.0 Punkte (THPT M5) oder 90 Punkte (TestAS M1) und IELTS ≥ 5.0; Partner sind Frankfurt UAS, TH Köln und Bonn-Rhein-Sieg UAS.</t>
  </si>
  <si>
    <t xml:space="preserve">Retrieval-Benchmarkfrage (Basis-ID: q_cross_06, Originalsprache: de, Stil/Typ: formal/cross_chunk, Zielgruppen: cse-admissions, cse-overview). Gilt für den Jahrgang / das Zulassungsjahr 2026.</t>
  </si>
  <si>
    <t xml:space="preserve">q_cross_07_vi</t>
  </si>
  <si>
    <t xml:space="preserve">Để nộp hồ sơ xét tuyển ngành Khoa học máy tính năm 2026, thí sinh đăng ký qua cổng trực tuyến nào và nếu cần tư vấn thì liên hệ qua những số hotline nào?</t>
  </si>
  <si>
    <t xml:space="preserve">Đăng ký trực tuyến tại https://apply.vgu.edu.vn; hotline tư vấn là 0988 54 52 54 hoặc (0274) 222 0990.</t>
  </si>
  <si>
    <t xml:space="preserve">Câu hỏi đánh giá truy xuất (mã gốc: q_cross_07, ngôn ngữ gốc: vi, kiểu: formal/cross_chunk, nhóm nguồn: cse-application-steps, cse-contact). Áp dụng cho khóa/năm 2026.</t>
  </si>
  <si>
    <t xml:space="preserve">q_cross_07</t>
  </si>
  <si>
    <t xml:space="preserve">q_cross_07_en</t>
  </si>
  <si>
    <t xml:space="preserve">To submit an application for Computer Science in 2026, which online portal do applicants register through and which hotline numbers can they call for advice?</t>
  </si>
  <si>
    <t xml:space="preserve">Register online at https://apply.vgu.edu.vn; the consultation hotlines are 0988 54 52 54 or (0274) 222 0990.</t>
  </si>
  <si>
    <t xml:space="preserve">Retrieval benchmark query (base ID: q_cross_07, original language: vi, style/type: formal/cross_chunk, target groups: cse-application-steps, cse-contact). For intake/admission year 2026.</t>
  </si>
  <si>
    <t xml:space="preserve">q_cross_07_de</t>
  </si>
  <si>
    <t xml:space="preserve">Über welches Online-Portal bewerben sich Studieninteressierte 2026 für Informatik und welche Hotline-Nummern stehen für die Beratung zur Verfügung?</t>
  </si>
  <si>
    <t xml:space="preserve">Die Online-Bewerbung erfolgt unter https://apply.vgu.edu.vn; die Beratungshotlines lauten 0988 54 52 54 oder (0274) 222 0990.</t>
  </si>
  <si>
    <t xml:space="preserve">Retrieval-Benchmarkfrage (Basis-ID: q_cross_07, Originalsprache: vi, Stil/Typ: formal/cross_chunk, Zielgruppen: cse-application-steps, cse-contact). Gilt für den Jahrgang / das Zulassungsjahr 2026.</t>
  </si>
  <si>
    <t xml:space="preserve">VGU CSE Multilingual Knowledge Base — Industry-Standard QA &amp; Governance Summary</t>
  </si>
  <si>
    <t xml:space="preserve">Consolidated Tri-Lingual Corpus (VI / EN / DE) | Reconciled Ground Truth | Self-Contained RAG Chunks | Atomic Provenance</t>
  </si>
  <si>
    <t xml:space="preserve">Total Tri-Lingual Records</t>
  </si>
  <si>
    <t xml:space="preserve">German (DE) Coverage</t>
  </si>
  <si>
    <t xml:space="preserve">Verified Factual Records</t>
  </si>
  <si>
    <t xml:space="preserve">Refusal Guardrail Tests</t>
  </si>
  <si>
    <t xml:space="preserve">206 Canonical Concept Groups</t>
  </si>
  <si>
    <t xml:space="preserve">100% Parity with VI &amp; EN</t>
  </si>
  <si>
    <t xml:space="preserve">Reconciled Across All Sources</t>
  </si>
  <si>
    <t xml:space="preserve">Out-of-Corpus Hallucination Tests</t>
  </si>
  <si>
    <t xml:space="preserve">Domain Category</t>
  </si>
  <si>
    <t xml:space="preserve">Vietnamese (vi)</t>
  </si>
  <si>
    <t xml:space="preserve">English (en)</t>
  </si>
  <si>
    <t xml:space="preserve">German (de)</t>
  </si>
  <si>
    <t xml:space="preserve">Total Records</t>
  </si>
  <si>
    <t xml:space="preserve">Total</t>
  </si>
</sst>
</file>

<file path=xl/styles.xml><?xml version="1.0" encoding="utf-8"?>
<styleSheet xmlns="http://schemas.openxmlformats.org/spreadsheetml/2006/main">
  <numFmts count="3">
    <numFmt numFmtId="164" formatCode="General"/>
    <numFmt numFmtId="165" formatCode="0"/>
    <numFmt numFmtId="166" formatCode="#,##0"/>
  </numFmts>
  <fonts count="15">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5"/>
      <color rgb="FFFFFFFF"/>
      <name val="Calibri"/>
      <family val="0"/>
      <charset val="1"/>
    </font>
    <font>
      <i val="true"/>
      <sz val="10"/>
      <color rgb="FF1F497D"/>
      <name val="Calibri"/>
      <family val="0"/>
      <charset val="1"/>
    </font>
    <font>
      <b val="true"/>
      <sz val="9"/>
      <color rgb="FFFFFFFF"/>
      <name val="Calibri"/>
      <family val="0"/>
      <charset val="1"/>
    </font>
    <font>
      <b val="true"/>
      <sz val="14"/>
      <color rgb="FF1F497D"/>
      <name val="Calibri"/>
      <family val="0"/>
      <charset val="1"/>
    </font>
    <font>
      <sz val="9"/>
      <color rgb="FF595959"/>
      <name val="Calibri"/>
      <family val="0"/>
      <charset val="1"/>
    </font>
    <font>
      <b val="true"/>
      <sz val="11"/>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1F497D"/>
        <bgColor rgb="FF003366"/>
      </patternFill>
    </fill>
    <fill>
      <patternFill patternType="solid">
        <fgColor rgb="FFF8FAFC"/>
        <bgColor rgb="FFF9F9F9"/>
      </patternFill>
    </fill>
    <fill>
      <patternFill patternType="solid">
        <fgColor rgb="FFD1E7DD"/>
        <bgColor rgb="FFD9E1F2"/>
      </patternFill>
    </fill>
    <fill>
      <patternFill patternType="solid">
        <fgColor rgb="FFCFF4FC"/>
        <bgColor rgb="FFD1E7DD"/>
      </patternFill>
    </fill>
    <fill>
      <patternFill patternType="solid">
        <fgColor rgb="FFFFF3CD"/>
        <bgColor rgb="FFF9F9F9"/>
      </patternFill>
    </fill>
    <fill>
      <patternFill patternType="solid">
        <fgColor rgb="FFF8D7DA"/>
        <bgColor rgb="FFD9D9D9"/>
      </patternFill>
    </fill>
    <fill>
      <patternFill patternType="solid">
        <fgColor rgb="FFD9E1F2"/>
        <bgColor rgb="FFE2E8F0"/>
      </patternFill>
    </fill>
    <fill>
      <patternFill patternType="solid">
        <fgColor rgb="FFF2F5F9"/>
        <bgColor rgb="FFF9F9F9"/>
      </patternFill>
    </fill>
  </fills>
  <borders count="4">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1F497D"/>
      </top>
      <bottom style="double">
        <color rgb="FF1F497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right"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right" vertical="top" textRotation="0" wrapText="false" indent="0" shrinkToFit="false"/>
      <protection locked="true" hidden="false"/>
    </xf>
    <xf numFmtId="165" fontId="5" fillId="0" borderId="1" xfId="0" applyFont="true" applyBorder="true" applyAlignment="true" applyProtection="false">
      <alignment horizontal="right" vertical="top" textRotation="0" wrapText="false" indent="0" shrinkToFit="false"/>
      <protection locked="true" hidden="false"/>
    </xf>
    <xf numFmtId="165" fontId="5" fillId="3" borderId="1" xfId="0" applyFont="true" applyBorder="true" applyAlignment="true" applyProtection="false">
      <alignment horizontal="right"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center" vertical="top"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8" borderId="0" xfId="0" applyFont="true" applyBorder="true" applyAlignment="true" applyProtection="false">
      <alignment horizontal="left"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4" fillId="2" borderId="2" xfId="0" applyFont="true" applyBorder="true" applyAlignment="true" applyProtection="false">
      <alignment horizontal="right" vertical="center" textRotation="0" wrapText="false" indent="0" shrinkToFit="false"/>
      <protection locked="true" hidden="false"/>
    </xf>
    <xf numFmtId="164" fontId="5" fillId="9" borderId="2" xfId="0" applyFont="true" applyBorder="true" applyAlignment="true" applyProtection="false">
      <alignment horizontal="left" vertical="center" textRotation="0" wrapText="false" indent="0" shrinkToFit="false"/>
      <protection locked="true" hidden="false"/>
    </xf>
    <xf numFmtId="166" fontId="5" fillId="9" borderId="2" xfId="0" applyFont="true" applyBorder="tru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left" vertical="center" textRotation="0" wrapText="false" indent="0" shrinkToFit="false"/>
      <protection locked="true" hidden="false"/>
    </xf>
    <xf numFmtId="166" fontId="5" fillId="0" borderId="2" xfId="0" applyFont="true" applyBorder="true" applyAlignment="true" applyProtection="false">
      <alignment horizontal="right" vertical="center" textRotation="0" wrapText="false" indent="0" shrinkToFit="false"/>
      <protection locked="true" hidden="false"/>
    </xf>
    <xf numFmtId="164" fontId="11" fillId="0" borderId="3" xfId="0" applyFont="true" applyBorder="true" applyAlignment="true" applyProtection="false">
      <alignment horizontal="left" vertical="center" textRotation="0" wrapText="false" indent="0" shrinkToFit="false"/>
      <protection locked="true" hidden="false"/>
    </xf>
    <xf numFmtId="166" fontId="11" fillId="0" borderId="3"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78787"/>
      <rgbColor rgb="FF9999FF"/>
      <rgbColor rgb="FFC0504D"/>
      <rgbColor rgb="FFFFF3CD"/>
      <rgbColor rgb="FFCFF4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8F0"/>
      <rgbColor rgb="FFD1E7DD"/>
      <rgbColor rgb="FFF9F9F9"/>
      <rgbColor rgb="FFF2F5F9"/>
      <rgbColor rgb="FFF8FAFC"/>
      <rgbColor rgb="FFCC99FF"/>
      <rgbColor rgb="FFF8D7DA"/>
      <rgbColor rgb="FF4F81BD"/>
      <rgbColor rgb="FF33CCCC"/>
      <rgbColor rgb="FF9BBB59"/>
      <rgbColor rgb="FFFFCC00"/>
      <rgbColor rgb="FFFF9900"/>
      <rgbColor rgb="FFFF6600"/>
      <rgbColor rgb="FF59595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Knowledge Base Records by Category &amp; Language</a:t>
            </a:r>
          </a:p>
        </c:rich>
      </c:tx>
      <c:overlay val="0"/>
      <c:spPr>
        <a:noFill/>
        <a:ln w="0">
          <a:noFill/>
        </a:ln>
      </c:spPr>
    </c:title>
    <c:autoTitleDeleted val="0"/>
    <c:plotArea>
      <c:barChart>
        <c:barDir val="col"/>
        <c:grouping val="clustered"/>
        <c:varyColors val="0"/>
        <c:ser>
          <c:idx val="0"/>
          <c:order val="0"/>
          <c:tx>
            <c:strRef>
              <c:f>Audit_Summary!B9</c:f>
              <c:strCache>
                <c:ptCount val="1"/>
                <c:pt idx="0">
                  <c:v>Vietnamese (vi)</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Audit_Summary!$A$10:$A$30</c:f>
              <c:strCache>
                <c:ptCount val="21"/>
                <c:pt idx="0">
                  <c:v>admission</c:v>
                </c:pt>
                <c:pt idx="1">
                  <c:v>career</c:v>
                </c:pt>
                <c:pt idx="2">
                  <c:v>course_details</c:v>
                </c:pt>
                <c:pt idx="3">
                  <c:v>curriculum</c:v>
                </c:pt>
                <c:pt idx="4">
                  <c:v>degree</c:v>
                </c:pt>
                <c:pt idx="5">
                  <c:v>digital_services</c:v>
                </c:pt>
                <c:pt idx="6">
                  <c:v>english_requirement</c:v>
                </c:pt>
                <c:pt idx="7">
                  <c:v>examinations</c:v>
                </c:pt>
                <c:pt idx="8">
                  <c:v>exchange</c:v>
                </c:pt>
                <c:pt idx="9">
                  <c:v>facilities</c:v>
                </c:pt>
                <c:pt idx="10">
                  <c:v>foundation_year</c:v>
                </c:pt>
                <c:pt idx="11">
                  <c:v>internship</c:v>
                </c:pt>
                <c:pt idx="12">
                  <c:v>learning_resources</c:v>
                </c:pt>
                <c:pt idx="13">
                  <c:v>library_services</c:v>
                </c:pt>
                <c:pt idx="14">
                  <c:v>out_of_corpus_refusal</c:v>
                </c:pt>
                <c:pt idx="15">
                  <c:v>program_overview</c:v>
                </c:pt>
                <c:pt idx="16">
                  <c:v>scholarship</c:v>
                </c:pt>
                <c:pt idx="17">
                  <c:v>specializations</c:v>
                </c:pt>
                <c:pt idx="18">
                  <c:v>student_life</c:v>
                </c:pt>
                <c:pt idx="19">
                  <c:v>student_support</c:v>
                </c:pt>
                <c:pt idx="20">
                  <c:v>tuition</c:v>
                </c:pt>
              </c:strCache>
            </c:strRef>
          </c:cat>
          <c:val>
            <c:numRef>
              <c:f>Audit_Summary!$B$10:$B$30</c:f>
              <c:numCache>
                <c:formatCode>General</c:formatCode>
                <c:ptCount val="21"/>
                <c:pt idx="0">
                  <c:v>28</c:v>
                </c:pt>
                <c:pt idx="1">
                  <c:v>10</c:v>
                </c:pt>
                <c:pt idx="2">
                  <c:v>3</c:v>
                </c:pt>
                <c:pt idx="3">
                  <c:v>30</c:v>
                </c:pt>
                <c:pt idx="4">
                  <c:v>8</c:v>
                </c:pt>
                <c:pt idx="5">
                  <c:v>5</c:v>
                </c:pt>
                <c:pt idx="6">
                  <c:v>10</c:v>
                </c:pt>
                <c:pt idx="7">
                  <c:v>3</c:v>
                </c:pt>
                <c:pt idx="8">
                  <c:v>8</c:v>
                </c:pt>
                <c:pt idx="9">
                  <c:v>6</c:v>
                </c:pt>
                <c:pt idx="10">
                  <c:v>8</c:v>
                </c:pt>
                <c:pt idx="11">
                  <c:v>7</c:v>
                </c:pt>
                <c:pt idx="12">
                  <c:v>7</c:v>
                </c:pt>
                <c:pt idx="13">
                  <c:v>10</c:v>
                </c:pt>
                <c:pt idx="14">
                  <c:v>10</c:v>
                </c:pt>
                <c:pt idx="15">
                  <c:v>11</c:v>
                </c:pt>
                <c:pt idx="16">
                  <c:v>9</c:v>
                </c:pt>
                <c:pt idx="17">
                  <c:v>6</c:v>
                </c:pt>
                <c:pt idx="18">
                  <c:v>8</c:v>
                </c:pt>
                <c:pt idx="19">
                  <c:v>1</c:v>
                </c:pt>
                <c:pt idx="20">
                  <c:v>18</c:v>
                </c:pt>
              </c:numCache>
            </c:numRef>
          </c:val>
        </c:ser>
        <c:ser>
          <c:idx val="1"/>
          <c:order val="1"/>
          <c:tx>
            <c:strRef>
              <c:f>Audit_Summary!C9</c:f>
              <c:strCache>
                <c:ptCount val="1"/>
                <c:pt idx="0">
                  <c:v>English (en)</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Audit_Summary!$A$10:$A$30</c:f>
              <c:strCache>
                <c:ptCount val="21"/>
                <c:pt idx="0">
                  <c:v>admission</c:v>
                </c:pt>
                <c:pt idx="1">
                  <c:v>career</c:v>
                </c:pt>
                <c:pt idx="2">
                  <c:v>course_details</c:v>
                </c:pt>
                <c:pt idx="3">
                  <c:v>curriculum</c:v>
                </c:pt>
                <c:pt idx="4">
                  <c:v>degree</c:v>
                </c:pt>
                <c:pt idx="5">
                  <c:v>digital_services</c:v>
                </c:pt>
                <c:pt idx="6">
                  <c:v>english_requirement</c:v>
                </c:pt>
                <c:pt idx="7">
                  <c:v>examinations</c:v>
                </c:pt>
                <c:pt idx="8">
                  <c:v>exchange</c:v>
                </c:pt>
                <c:pt idx="9">
                  <c:v>facilities</c:v>
                </c:pt>
                <c:pt idx="10">
                  <c:v>foundation_year</c:v>
                </c:pt>
                <c:pt idx="11">
                  <c:v>internship</c:v>
                </c:pt>
                <c:pt idx="12">
                  <c:v>learning_resources</c:v>
                </c:pt>
                <c:pt idx="13">
                  <c:v>library_services</c:v>
                </c:pt>
                <c:pt idx="14">
                  <c:v>out_of_corpus_refusal</c:v>
                </c:pt>
                <c:pt idx="15">
                  <c:v>program_overview</c:v>
                </c:pt>
                <c:pt idx="16">
                  <c:v>scholarship</c:v>
                </c:pt>
                <c:pt idx="17">
                  <c:v>specializations</c:v>
                </c:pt>
                <c:pt idx="18">
                  <c:v>student_life</c:v>
                </c:pt>
                <c:pt idx="19">
                  <c:v>student_support</c:v>
                </c:pt>
                <c:pt idx="20">
                  <c:v>tuition</c:v>
                </c:pt>
              </c:strCache>
            </c:strRef>
          </c:cat>
          <c:val>
            <c:numRef>
              <c:f>Audit_Summary!$C$10:$C$30</c:f>
              <c:numCache>
                <c:formatCode>General</c:formatCode>
                <c:ptCount val="21"/>
                <c:pt idx="0">
                  <c:v>28</c:v>
                </c:pt>
                <c:pt idx="1">
                  <c:v>10</c:v>
                </c:pt>
                <c:pt idx="2">
                  <c:v>3</c:v>
                </c:pt>
                <c:pt idx="3">
                  <c:v>30</c:v>
                </c:pt>
                <c:pt idx="4">
                  <c:v>8</c:v>
                </c:pt>
                <c:pt idx="5">
                  <c:v>5</c:v>
                </c:pt>
                <c:pt idx="6">
                  <c:v>10</c:v>
                </c:pt>
                <c:pt idx="7">
                  <c:v>3</c:v>
                </c:pt>
                <c:pt idx="8">
                  <c:v>8</c:v>
                </c:pt>
                <c:pt idx="9">
                  <c:v>6</c:v>
                </c:pt>
                <c:pt idx="10">
                  <c:v>8</c:v>
                </c:pt>
                <c:pt idx="11">
                  <c:v>7</c:v>
                </c:pt>
                <c:pt idx="12">
                  <c:v>7</c:v>
                </c:pt>
                <c:pt idx="13">
                  <c:v>10</c:v>
                </c:pt>
                <c:pt idx="14">
                  <c:v>10</c:v>
                </c:pt>
                <c:pt idx="15">
                  <c:v>11</c:v>
                </c:pt>
                <c:pt idx="16">
                  <c:v>9</c:v>
                </c:pt>
                <c:pt idx="17">
                  <c:v>6</c:v>
                </c:pt>
                <c:pt idx="18">
                  <c:v>8</c:v>
                </c:pt>
                <c:pt idx="19">
                  <c:v>1</c:v>
                </c:pt>
                <c:pt idx="20">
                  <c:v>18</c:v>
                </c:pt>
              </c:numCache>
            </c:numRef>
          </c:val>
        </c:ser>
        <c:ser>
          <c:idx val="2"/>
          <c:order val="2"/>
          <c:tx>
            <c:strRef>
              <c:f>Audit_Summary!D9</c:f>
              <c:strCache>
                <c:ptCount val="1"/>
                <c:pt idx="0">
                  <c:v>German (de)</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Audit_Summary!$A$10:$A$30</c:f>
              <c:strCache>
                <c:ptCount val="21"/>
                <c:pt idx="0">
                  <c:v>admission</c:v>
                </c:pt>
                <c:pt idx="1">
                  <c:v>career</c:v>
                </c:pt>
                <c:pt idx="2">
                  <c:v>course_details</c:v>
                </c:pt>
                <c:pt idx="3">
                  <c:v>curriculum</c:v>
                </c:pt>
                <c:pt idx="4">
                  <c:v>degree</c:v>
                </c:pt>
                <c:pt idx="5">
                  <c:v>digital_services</c:v>
                </c:pt>
                <c:pt idx="6">
                  <c:v>english_requirement</c:v>
                </c:pt>
                <c:pt idx="7">
                  <c:v>examinations</c:v>
                </c:pt>
                <c:pt idx="8">
                  <c:v>exchange</c:v>
                </c:pt>
                <c:pt idx="9">
                  <c:v>facilities</c:v>
                </c:pt>
                <c:pt idx="10">
                  <c:v>foundation_year</c:v>
                </c:pt>
                <c:pt idx="11">
                  <c:v>internship</c:v>
                </c:pt>
                <c:pt idx="12">
                  <c:v>learning_resources</c:v>
                </c:pt>
                <c:pt idx="13">
                  <c:v>library_services</c:v>
                </c:pt>
                <c:pt idx="14">
                  <c:v>out_of_corpus_refusal</c:v>
                </c:pt>
                <c:pt idx="15">
                  <c:v>program_overview</c:v>
                </c:pt>
                <c:pt idx="16">
                  <c:v>scholarship</c:v>
                </c:pt>
                <c:pt idx="17">
                  <c:v>specializations</c:v>
                </c:pt>
                <c:pt idx="18">
                  <c:v>student_life</c:v>
                </c:pt>
                <c:pt idx="19">
                  <c:v>student_support</c:v>
                </c:pt>
                <c:pt idx="20">
                  <c:v>tuition</c:v>
                </c:pt>
              </c:strCache>
            </c:strRef>
          </c:cat>
          <c:val>
            <c:numRef>
              <c:f>Audit_Summary!$D$10:$D$30</c:f>
              <c:numCache>
                <c:formatCode>General</c:formatCode>
                <c:ptCount val="21"/>
                <c:pt idx="0">
                  <c:v>28</c:v>
                </c:pt>
                <c:pt idx="1">
                  <c:v>10</c:v>
                </c:pt>
                <c:pt idx="2">
                  <c:v>3</c:v>
                </c:pt>
                <c:pt idx="3">
                  <c:v>30</c:v>
                </c:pt>
                <c:pt idx="4">
                  <c:v>8</c:v>
                </c:pt>
                <c:pt idx="5">
                  <c:v>5</c:v>
                </c:pt>
                <c:pt idx="6">
                  <c:v>10</c:v>
                </c:pt>
                <c:pt idx="7">
                  <c:v>3</c:v>
                </c:pt>
                <c:pt idx="8">
                  <c:v>8</c:v>
                </c:pt>
                <c:pt idx="9">
                  <c:v>6</c:v>
                </c:pt>
                <c:pt idx="10">
                  <c:v>8</c:v>
                </c:pt>
                <c:pt idx="11">
                  <c:v>7</c:v>
                </c:pt>
                <c:pt idx="12">
                  <c:v>7</c:v>
                </c:pt>
                <c:pt idx="13">
                  <c:v>10</c:v>
                </c:pt>
                <c:pt idx="14">
                  <c:v>10</c:v>
                </c:pt>
                <c:pt idx="15">
                  <c:v>11</c:v>
                </c:pt>
                <c:pt idx="16">
                  <c:v>9</c:v>
                </c:pt>
                <c:pt idx="17">
                  <c:v>6</c:v>
                </c:pt>
                <c:pt idx="18">
                  <c:v>8</c:v>
                </c:pt>
                <c:pt idx="19">
                  <c:v>1</c:v>
                </c:pt>
                <c:pt idx="20">
                  <c:v>18</c:v>
                </c:pt>
              </c:numCache>
            </c:numRef>
          </c:val>
        </c:ser>
        <c:gapWidth val="150"/>
        <c:overlap val="0"/>
        <c:axId val="89643766"/>
        <c:axId val="21050198"/>
      </c:barChart>
      <c:catAx>
        <c:axId val="8964376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050198"/>
        <c:crosses val="autoZero"/>
        <c:auto val="1"/>
        <c:lblAlgn val="ctr"/>
        <c:lblOffset val="100"/>
        <c:noMultiLvlLbl val="0"/>
      </c:catAx>
      <c:valAx>
        <c:axId val="2105019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Record Count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6437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8</xdr:row>
      <xdr:rowOff>0</xdr:rowOff>
    </xdr:from>
    <xdr:to>
      <xdr:col>12</xdr:col>
      <xdr:colOff>212040</xdr:colOff>
      <xdr:row>26</xdr:row>
      <xdr:rowOff>84960</xdr:rowOff>
    </xdr:to>
    <xdr:graphicFrame>
      <xdr:nvGraphicFramePr>
        <xdr:cNvPr id="0" name="Chart 1"/>
        <xdr:cNvGraphicFramePr/>
      </xdr:nvGraphicFramePr>
      <xdr:xfrm>
        <a:off x="6625440" y="174312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1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12"/>
    <col collapsed="false" customWidth="true" hidden="false" outlineLevel="0" max="4" min="4" style="0" width="44"/>
    <col collapsed="false" customWidth="true" hidden="false" outlineLevel="0" max="5" min="5" style="0" width="45"/>
    <col collapsed="false" customWidth="true" hidden="false" outlineLevel="0" max="6" min="6" style="0" width="44"/>
    <col collapsed="false" customWidth="true" hidden="false" outlineLevel="0" max="7" min="7" style="0" width="12"/>
    <col collapsed="false" customWidth="true" hidden="false" outlineLevel="0" max="8" min="8" style="0" width="44"/>
    <col collapsed="false" customWidth="true" hidden="false" outlineLevel="0" max="9" min="9" style="0" width="28"/>
    <col collapsed="false" customWidth="true" hidden="false" outlineLevel="0" max="10" min="10" style="0" width="18"/>
    <col collapsed="false" customWidth="true" hidden="false" outlineLevel="0" max="11" min="11" style="0" width="20"/>
    <col collapsed="false" customWidth="true" hidden="false" outlineLevel="0" max="12" min="12" style="0" width="38"/>
    <col collapsed="false" customWidth="true" hidden="false" outlineLevel="0" max="13" min="13" style="0" width="16"/>
  </cols>
  <sheetData>
    <row r="1" customFormat="false" ht="24" hidden="false" customHeight="true" outlineLevel="0" collapsed="false">
      <c r="A1" s="1" t="s">
        <v>0</v>
      </c>
      <c r="B1" s="1" t="s">
        <v>1</v>
      </c>
      <c r="C1" s="2" t="s">
        <v>2</v>
      </c>
      <c r="D1" s="1" t="s">
        <v>3</v>
      </c>
      <c r="E1" s="1" t="s">
        <v>4</v>
      </c>
      <c r="F1" s="1" t="s">
        <v>5</v>
      </c>
      <c r="G1" s="2" t="s">
        <v>6</v>
      </c>
      <c r="H1" s="1" t="s">
        <v>7</v>
      </c>
      <c r="I1" s="1" t="s">
        <v>8</v>
      </c>
      <c r="J1" s="2" t="s">
        <v>9</v>
      </c>
      <c r="K1" s="2" t="s">
        <v>10</v>
      </c>
      <c r="L1" s="1" t="s">
        <v>11</v>
      </c>
      <c r="M1" s="2" t="s">
        <v>12</v>
      </c>
    </row>
    <row r="2" customFormat="false" ht="15" hidden="false" customHeight="false" outlineLevel="0" collapsed="false">
      <c r="A2" s="3" t="s">
        <v>13</v>
      </c>
      <c r="B2" s="3" t="s">
        <v>14</v>
      </c>
      <c r="C2" s="4" t="s">
        <v>15</v>
      </c>
      <c r="D2" s="3" t="s">
        <v>16</v>
      </c>
      <c r="E2" s="3" t="s">
        <v>17</v>
      </c>
      <c r="F2" s="3" t="s">
        <v>18</v>
      </c>
      <c r="G2" s="5"/>
      <c r="H2" s="3" t="s">
        <v>19</v>
      </c>
      <c r="I2" s="3" t="s">
        <v>20</v>
      </c>
      <c r="J2" s="4" t="s">
        <v>21</v>
      </c>
      <c r="K2" s="6" t="s">
        <v>22</v>
      </c>
      <c r="L2" s="3"/>
      <c r="M2" s="4" t="s">
        <v>23</v>
      </c>
    </row>
    <row r="3" customFormat="false" ht="15" hidden="false" customHeight="false" outlineLevel="0" collapsed="false">
      <c r="A3" s="7" t="s">
        <v>24</v>
      </c>
      <c r="B3" s="7" t="s">
        <v>14</v>
      </c>
      <c r="C3" s="8" t="s">
        <v>25</v>
      </c>
      <c r="D3" s="7" t="s">
        <v>26</v>
      </c>
      <c r="E3" s="7" t="s">
        <v>27</v>
      </c>
      <c r="F3" s="7" t="s">
        <v>28</v>
      </c>
      <c r="G3" s="9"/>
      <c r="H3" s="7" t="s">
        <v>29</v>
      </c>
      <c r="I3" s="7" t="s">
        <v>20</v>
      </c>
      <c r="J3" s="8" t="s">
        <v>21</v>
      </c>
      <c r="K3" s="6" t="s">
        <v>22</v>
      </c>
      <c r="L3" s="7"/>
      <c r="M3" s="8" t="s">
        <v>23</v>
      </c>
    </row>
    <row r="4" customFormat="false" ht="15" hidden="false" customHeight="false" outlineLevel="0" collapsed="false">
      <c r="A4" s="3" t="s">
        <v>30</v>
      </c>
      <c r="B4" s="3" t="s">
        <v>14</v>
      </c>
      <c r="C4" s="4" t="s">
        <v>31</v>
      </c>
      <c r="D4" s="3" t="s">
        <v>32</v>
      </c>
      <c r="E4" s="3" t="s">
        <v>33</v>
      </c>
      <c r="F4" s="3" t="s">
        <v>34</v>
      </c>
      <c r="G4" s="5"/>
      <c r="H4" s="3" t="s">
        <v>35</v>
      </c>
      <c r="I4" s="3" t="s">
        <v>20</v>
      </c>
      <c r="J4" s="4" t="s">
        <v>21</v>
      </c>
      <c r="K4" s="6" t="s">
        <v>22</v>
      </c>
      <c r="L4" s="3"/>
      <c r="M4" s="4" t="s">
        <v>23</v>
      </c>
    </row>
    <row r="5" customFormat="false" ht="15" hidden="false" customHeight="false" outlineLevel="0" collapsed="false">
      <c r="A5" s="7" t="s">
        <v>36</v>
      </c>
      <c r="B5" s="7" t="s">
        <v>14</v>
      </c>
      <c r="C5" s="8" t="s">
        <v>15</v>
      </c>
      <c r="D5" s="7" t="s">
        <v>37</v>
      </c>
      <c r="E5" s="7" t="s">
        <v>38</v>
      </c>
      <c r="F5" s="7" t="s">
        <v>18</v>
      </c>
      <c r="G5" s="9"/>
      <c r="H5" s="7" t="s">
        <v>19</v>
      </c>
      <c r="I5" s="7" t="s">
        <v>39</v>
      </c>
      <c r="J5" s="8" t="s">
        <v>21</v>
      </c>
      <c r="K5" s="6" t="s">
        <v>22</v>
      </c>
      <c r="L5" s="7"/>
      <c r="M5" s="8" t="s">
        <v>23</v>
      </c>
    </row>
    <row r="6" customFormat="false" ht="15" hidden="false" customHeight="false" outlineLevel="0" collapsed="false">
      <c r="A6" s="3" t="s">
        <v>40</v>
      </c>
      <c r="B6" s="3" t="s">
        <v>14</v>
      </c>
      <c r="C6" s="4" t="s">
        <v>25</v>
      </c>
      <c r="D6" s="3" t="s">
        <v>41</v>
      </c>
      <c r="E6" s="3" t="s">
        <v>42</v>
      </c>
      <c r="F6" s="3" t="s">
        <v>28</v>
      </c>
      <c r="G6" s="5"/>
      <c r="H6" s="3" t="s">
        <v>29</v>
      </c>
      <c r="I6" s="3" t="s">
        <v>39</v>
      </c>
      <c r="J6" s="4" t="s">
        <v>21</v>
      </c>
      <c r="K6" s="6" t="s">
        <v>22</v>
      </c>
      <c r="L6" s="3"/>
      <c r="M6" s="4" t="s">
        <v>23</v>
      </c>
    </row>
    <row r="7" customFormat="false" ht="15" hidden="false" customHeight="false" outlineLevel="0" collapsed="false">
      <c r="A7" s="7" t="s">
        <v>43</v>
      </c>
      <c r="B7" s="7" t="s">
        <v>14</v>
      </c>
      <c r="C7" s="8" t="s">
        <v>31</v>
      </c>
      <c r="D7" s="7" t="s">
        <v>44</v>
      </c>
      <c r="E7" s="7" t="s">
        <v>45</v>
      </c>
      <c r="F7" s="7" t="s">
        <v>34</v>
      </c>
      <c r="G7" s="9"/>
      <c r="H7" s="7" t="s">
        <v>35</v>
      </c>
      <c r="I7" s="7" t="s">
        <v>39</v>
      </c>
      <c r="J7" s="8" t="s">
        <v>21</v>
      </c>
      <c r="K7" s="6" t="s">
        <v>22</v>
      </c>
      <c r="L7" s="7"/>
      <c r="M7" s="8" t="s">
        <v>23</v>
      </c>
    </row>
    <row r="8" customFormat="false" ht="15" hidden="false" customHeight="false" outlineLevel="0" collapsed="false">
      <c r="A8" s="3" t="s">
        <v>46</v>
      </c>
      <c r="B8" s="3" t="s">
        <v>14</v>
      </c>
      <c r="C8" s="4" t="s">
        <v>15</v>
      </c>
      <c r="D8" s="3" t="s">
        <v>47</v>
      </c>
      <c r="E8" s="3" t="s">
        <v>48</v>
      </c>
      <c r="F8" s="3" t="s">
        <v>18</v>
      </c>
      <c r="G8" s="5"/>
      <c r="H8" s="3" t="s">
        <v>19</v>
      </c>
      <c r="I8" s="3" t="s">
        <v>49</v>
      </c>
      <c r="J8" s="4" t="s">
        <v>21</v>
      </c>
      <c r="K8" s="6" t="s">
        <v>22</v>
      </c>
      <c r="L8" s="3"/>
      <c r="M8" s="4" t="s">
        <v>23</v>
      </c>
    </row>
    <row r="9" customFormat="false" ht="15" hidden="false" customHeight="false" outlineLevel="0" collapsed="false">
      <c r="A9" s="7" t="s">
        <v>50</v>
      </c>
      <c r="B9" s="7" t="s">
        <v>14</v>
      </c>
      <c r="C9" s="8" t="s">
        <v>25</v>
      </c>
      <c r="D9" s="7" t="s">
        <v>51</v>
      </c>
      <c r="E9" s="7" t="s">
        <v>52</v>
      </c>
      <c r="F9" s="7" t="s">
        <v>28</v>
      </c>
      <c r="G9" s="9"/>
      <c r="H9" s="7" t="s">
        <v>29</v>
      </c>
      <c r="I9" s="7" t="s">
        <v>49</v>
      </c>
      <c r="J9" s="8" t="s">
        <v>21</v>
      </c>
      <c r="K9" s="6" t="s">
        <v>22</v>
      </c>
      <c r="L9" s="7"/>
      <c r="M9" s="8" t="s">
        <v>23</v>
      </c>
    </row>
    <row r="10" customFormat="false" ht="15" hidden="false" customHeight="false" outlineLevel="0" collapsed="false">
      <c r="A10" s="3" t="s">
        <v>53</v>
      </c>
      <c r="B10" s="3" t="s">
        <v>14</v>
      </c>
      <c r="C10" s="4" t="s">
        <v>31</v>
      </c>
      <c r="D10" s="3" t="s">
        <v>54</v>
      </c>
      <c r="E10" s="3" t="s">
        <v>55</v>
      </c>
      <c r="F10" s="3" t="s">
        <v>34</v>
      </c>
      <c r="G10" s="5"/>
      <c r="H10" s="3" t="s">
        <v>35</v>
      </c>
      <c r="I10" s="3" t="s">
        <v>49</v>
      </c>
      <c r="J10" s="4" t="s">
        <v>21</v>
      </c>
      <c r="K10" s="6" t="s">
        <v>22</v>
      </c>
      <c r="L10" s="3"/>
      <c r="M10" s="4" t="s">
        <v>23</v>
      </c>
    </row>
    <row r="11" customFormat="false" ht="15" hidden="false" customHeight="false" outlineLevel="0" collapsed="false">
      <c r="A11" s="7" t="s">
        <v>56</v>
      </c>
      <c r="B11" s="7" t="s">
        <v>14</v>
      </c>
      <c r="C11" s="8" t="s">
        <v>15</v>
      </c>
      <c r="D11" s="7" t="s">
        <v>57</v>
      </c>
      <c r="E11" s="7" t="s">
        <v>58</v>
      </c>
      <c r="F11" s="7" t="s">
        <v>18</v>
      </c>
      <c r="G11" s="9"/>
      <c r="H11" s="7" t="s">
        <v>19</v>
      </c>
      <c r="I11" s="7" t="s">
        <v>59</v>
      </c>
      <c r="J11" s="8" t="s">
        <v>21</v>
      </c>
      <c r="K11" s="6" t="s">
        <v>22</v>
      </c>
      <c r="L11" s="7"/>
      <c r="M11" s="8" t="s">
        <v>23</v>
      </c>
    </row>
    <row r="12" customFormat="false" ht="15" hidden="false" customHeight="false" outlineLevel="0" collapsed="false">
      <c r="A12" s="3" t="s">
        <v>60</v>
      </c>
      <c r="B12" s="3" t="s">
        <v>14</v>
      </c>
      <c r="C12" s="4" t="s">
        <v>25</v>
      </c>
      <c r="D12" s="3" t="s">
        <v>61</v>
      </c>
      <c r="E12" s="3" t="s">
        <v>62</v>
      </c>
      <c r="F12" s="3" t="s">
        <v>28</v>
      </c>
      <c r="G12" s="5"/>
      <c r="H12" s="3" t="s">
        <v>29</v>
      </c>
      <c r="I12" s="3" t="s">
        <v>59</v>
      </c>
      <c r="J12" s="4" t="s">
        <v>21</v>
      </c>
      <c r="K12" s="6" t="s">
        <v>22</v>
      </c>
      <c r="L12" s="3"/>
      <c r="M12" s="4" t="s">
        <v>23</v>
      </c>
    </row>
    <row r="13" customFormat="false" ht="15" hidden="false" customHeight="false" outlineLevel="0" collapsed="false">
      <c r="A13" s="7" t="s">
        <v>63</v>
      </c>
      <c r="B13" s="7" t="s">
        <v>14</v>
      </c>
      <c r="C13" s="8" t="s">
        <v>31</v>
      </c>
      <c r="D13" s="7" t="s">
        <v>64</v>
      </c>
      <c r="E13" s="7" t="s">
        <v>65</v>
      </c>
      <c r="F13" s="7" t="s">
        <v>34</v>
      </c>
      <c r="G13" s="9"/>
      <c r="H13" s="7" t="s">
        <v>35</v>
      </c>
      <c r="I13" s="7" t="s">
        <v>59</v>
      </c>
      <c r="J13" s="8" t="s">
        <v>21</v>
      </c>
      <c r="K13" s="6" t="s">
        <v>22</v>
      </c>
      <c r="L13" s="7"/>
      <c r="M13" s="8" t="s">
        <v>23</v>
      </c>
    </row>
    <row r="14" customFormat="false" ht="15" hidden="false" customHeight="false" outlineLevel="0" collapsed="false">
      <c r="A14" s="3" t="s">
        <v>66</v>
      </c>
      <c r="B14" s="3" t="s">
        <v>14</v>
      </c>
      <c r="C14" s="4" t="s">
        <v>15</v>
      </c>
      <c r="D14" s="3" t="s">
        <v>67</v>
      </c>
      <c r="E14" s="3" t="s">
        <v>68</v>
      </c>
      <c r="F14" s="3" t="s">
        <v>18</v>
      </c>
      <c r="G14" s="5"/>
      <c r="H14" s="3" t="s">
        <v>19</v>
      </c>
      <c r="I14" s="3" t="s">
        <v>69</v>
      </c>
      <c r="J14" s="4" t="s">
        <v>21</v>
      </c>
      <c r="K14" s="6" t="s">
        <v>22</v>
      </c>
      <c r="L14" s="3"/>
      <c r="M14" s="4" t="s">
        <v>23</v>
      </c>
    </row>
    <row r="15" customFormat="false" ht="15" hidden="false" customHeight="false" outlineLevel="0" collapsed="false">
      <c r="A15" s="7" t="s">
        <v>70</v>
      </c>
      <c r="B15" s="7" t="s">
        <v>14</v>
      </c>
      <c r="C15" s="8" t="s">
        <v>25</v>
      </c>
      <c r="D15" s="7" t="s">
        <v>71</v>
      </c>
      <c r="E15" s="7" t="s">
        <v>72</v>
      </c>
      <c r="F15" s="7" t="s">
        <v>28</v>
      </c>
      <c r="G15" s="9"/>
      <c r="H15" s="7" t="s">
        <v>29</v>
      </c>
      <c r="I15" s="7" t="s">
        <v>69</v>
      </c>
      <c r="J15" s="8" t="s">
        <v>21</v>
      </c>
      <c r="K15" s="6" t="s">
        <v>22</v>
      </c>
      <c r="L15" s="7"/>
      <c r="M15" s="8" t="s">
        <v>23</v>
      </c>
    </row>
    <row r="16" customFormat="false" ht="15" hidden="false" customHeight="false" outlineLevel="0" collapsed="false">
      <c r="A16" s="3" t="s">
        <v>73</v>
      </c>
      <c r="B16" s="3" t="s">
        <v>14</v>
      </c>
      <c r="C16" s="4" t="s">
        <v>31</v>
      </c>
      <c r="D16" s="3" t="s">
        <v>74</v>
      </c>
      <c r="E16" s="3" t="s">
        <v>75</v>
      </c>
      <c r="F16" s="3" t="s">
        <v>34</v>
      </c>
      <c r="G16" s="5"/>
      <c r="H16" s="3" t="s">
        <v>35</v>
      </c>
      <c r="I16" s="3" t="s">
        <v>69</v>
      </c>
      <c r="J16" s="4" t="s">
        <v>21</v>
      </c>
      <c r="K16" s="6" t="s">
        <v>22</v>
      </c>
      <c r="L16" s="3"/>
      <c r="M16" s="4" t="s">
        <v>23</v>
      </c>
    </row>
    <row r="17" customFormat="false" ht="15" hidden="false" customHeight="false" outlineLevel="0" collapsed="false">
      <c r="A17" s="7" t="s">
        <v>76</v>
      </c>
      <c r="B17" s="7" t="s">
        <v>14</v>
      </c>
      <c r="C17" s="8" t="s">
        <v>15</v>
      </c>
      <c r="D17" s="7" t="s">
        <v>77</v>
      </c>
      <c r="E17" s="7" t="s">
        <v>78</v>
      </c>
      <c r="F17" s="7" t="s">
        <v>79</v>
      </c>
      <c r="G17" s="10" t="n">
        <v>2026</v>
      </c>
      <c r="H17" s="7" t="s">
        <v>80</v>
      </c>
      <c r="I17" s="7" t="s">
        <v>81</v>
      </c>
      <c r="J17" s="8" t="s">
        <v>21</v>
      </c>
      <c r="K17" s="6" t="s">
        <v>22</v>
      </c>
      <c r="L17" s="7"/>
      <c r="M17" s="8" t="s">
        <v>23</v>
      </c>
    </row>
    <row r="18" customFormat="false" ht="15" hidden="false" customHeight="false" outlineLevel="0" collapsed="false">
      <c r="A18" s="3" t="s">
        <v>82</v>
      </c>
      <c r="B18" s="3" t="s">
        <v>14</v>
      </c>
      <c r="C18" s="4" t="s">
        <v>25</v>
      </c>
      <c r="D18" s="3" t="s">
        <v>83</v>
      </c>
      <c r="E18" s="3" t="s">
        <v>84</v>
      </c>
      <c r="F18" s="3" t="s">
        <v>79</v>
      </c>
      <c r="G18" s="11" t="n">
        <v>2026</v>
      </c>
      <c r="H18" s="3" t="s">
        <v>85</v>
      </c>
      <c r="I18" s="3" t="s">
        <v>81</v>
      </c>
      <c r="J18" s="4" t="s">
        <v>21</v>
      </c>
      <c r="K18" s="6" t="s">
        <v>22</v>
      </c>
      <c r="L18" s="3"/>
      <c r="M18" s="4" t="s">
        <v>23</v>
      </c>
    </row>
    <row r="19" customFormat="false" ht="15" hidden="false" customHeight="false" outlineLevel="0" collapsed="false">
      <c r="A19" s="7" t="s">
        <v>86</v>
      </c>
      <c r="B19" s="7" t="s">
        <v>14</v>
      </c>
      <c r="C19" s="8" t="s">
        <v>31</v>
      </c>
      <c r="D19" s="7" t="s">
        <v>87</v>
      </c>
      <c r="E19" s="7" t="s">
        <v>88</v>
      </c>
      <c r="F19" s="7" t="s">
        <v>79</v>
      </c>
      <c r="G19" s="10" t="n">
        <v>2026</v>
      </c>
      <c r="H19" s="7" t="s">
        <v>89</v>
      </c>
      <c r="I19" s="7" t="s">
        <v>81</v>
      </c>
      <c r="J19" s="8" t="s">
        <v>21</v>
      </c>
      <c r="K19" s="6" t="s">
        <v>22</v>
      </c>
      <c r="L19" s="7"/>
      <c r="M19" s="8" t="s">
        <v>23</v>
      </c>
    </row>
    <row r="20" customFormat="false" ht="15" hidden="false" customHeight="false" outlineLevel="0" collapsed="false">
      <c r="A20" s="3" t="s">
        <v>90</v>
      </c>
      <c r="B20" s="3" t="s">
        <v>91</v>
      </c>
      <c r="C20" s="4" t="s">
        <v>15</v>
      </c>
      <c r="D20" s="3" t="s">
        <v>92</v>
      </c>
      <c r="E20" s="3" t="s">
        <v>93</v>
      </c>
      <c r="F20" s="3" t="s">
        <v>94</v>
      </c>
      <c r="G20" s="5"/>
      <c r="H20" s="3" t="s">
        <v>95</v>
      </c>
      <c r="I20" s="3" t="s">
        <v>96</v>
      </c>
      <c r="J20" s="4" t="s">
        <v>21</v>
      </c>
      <c r="K20" s="6" t="s">
        <v>22</v>
      </c>
      <c r="L20" s="3"/>
      <c r="M20" s="4" t="s">
        <v>23</v>
      </c>
    </row>
    <row r="21" customFormat="false" ht="15" hidden="false" customHeight="false" outlineLevel="0" collapsed="false">
      <c r="A21" s="7" t="s">
        <v>97</v>
      </c>
      <c r="B21" s="7" t="s">
        <v>91</v>
      </c>
      <c r="C21" s="8" t="s">
        <v>25</v>
      </c>
      <c r="D21" s="7" t="s">
        <v>98</v>
      </c>
      <c r="E21" s="7" t="s">
        <v>99</v>
      </c>
      <c r="F21" s="7" t="s">
        <v>94</v>
      </c>
      <c r="G21" s="9"/>
      <c r="H21" s="7" t="s">
        <v>100</v>
      </c>
      <c r="I21" s="7" t="s">
        <v>96</v>
      </c>
      <c r="J21" s="8" t="s">
        <v>21</v>
      </c>
      <c r="K21" s="6" t="s">
        <v>22</v>
      </c>
      <c r="L21" s="7"/>
      <c r="M21" s="8" t="s">
        <v>23</v>
      </c>
    </row>
    <row r="22" customFormat="false" ht="15" hidden="false" customHeight="false" outlineLevel="0" collapsed="false">
      <c r="A22" s="3" t="s">
        <v>101</v>
      </c>
      <c r="B22" s="3" t="s">
        <v>91</v>
      </c>
      <c r="C22" s="4" t="s">
        <v>31</v>
      </c>
      <c r="D22" s="3" t="s">
        <v>102</v>
      </c>
      <c r="E22" s="3" t="s">
        <v>103</v>
      </c>
      <c r="F22" s="3" t="s">
        <v>94</v>
      </c>
      <c r="G22" s="5"/>
      <c r="H22" s="3" t="s">
        <v>104</v>
      </c>
      <c r="I22" s="3" t="s">
        <v>96</v>
      </c>
      <c r="J22" s="4" t="s">
        <v>21</v>
      </c>
      <c r="K22" s="6" t="s">
        <v>22</v>
      </c>
      <c r="L22" s="3"/>
      <c r="M22" s="4" t="s">
        <v>23</v>
      </c>
    </row>
    <row r="23" customFormat="false" ht="15" hidden="false" customHeight="false" outlineLevel="0" collapsed="false">
      <c r="A23" s="7" t="s">
        <v>105</v>
      </c>
      <c r="B23" s="7" t="s">
        <v>91</v>
      </c>
      <c r="C23" s="8" t="s">
        <v>15</v>
      </c>
      <c r="D23" s="7" t="s">
        <v>106</v>
      </c>
      <c r="E23" s="7" t="s">
        <v>107</v>
      </c>
      <c r="F23" s="7" t="s">
        <v>94</v>
      </c>
      <c r="G23" s="9"/>
      <c r="H23" s="7" t="s">
        <v>95</v>
      </c>
      <c r="I23" s="7" t="s">
        <v>108</v>
      </c>
      <c r="J23" s="8" t="s">
        <v>21</v>
      </c>
      <c r="K23" s="6" t="s">
        <v>22</v>
      </c>
      <c r="L23" s="7"/>
      <c r="M23" s="8" t="s">
        <v>23</v>
      </c>
    </row>
    <row r="24" customFormat="false" ht="15" hidden="false" customHeight="false" outlineLevel="0" collapsed="false">
      <c r="A24" s="3" t="s">
        <v>109</v>
      </c>
      <c r="B24" s="3" t="s">
        <v>91</v>
      </c>
      <c r="C24" s="4" t="s">
        <v>25</v>
      </c>
      <c r="D24" s="3" t="s">
        <v>110</v>
      </c>
      <c r="E24" s="3" t="s">
        <v>111</v>
      </c>
      <c r="F24" s="3" t="s">
        <v>94</v>
      </c>
      <c r="G24" s="5"/>
      <c r="H24" s="3" t="s">
        <v>100</v>
      </c>
      <c r="I24" s="3" t="s">
        <v>108</v>
      </c>
      <c r="J24" s="4" t="s">
        <v>21</v>
      </c>
      <c r="K24" s="6" t="s">
        <v>22</v>
      </c>
      <c r="L24" s="3"/>
      <c r="M24" s="4" t="s">
        <v>23</v>
      </c>
    </row>
    <row r="25" customFormat="false" ht="15" hidden="false" customHeight="false" outlineLevel="0" collapsed="false">
      <c r="A25" s="7" t="s">
        <v>112</v>
      </c>
      <c r="B25" s="7" t="s">
        <v>91</v>
      </c>
      <c r="C25" s="8" t="s">
        <v>31</v>
      </c>
      <c r="D25" s="7" t="s">
        <v>113</v>
      </c>
      <c r="E25" s="7" t="s">
        <v>114</v>
      </c>
      <c r="F25" s="7" t="s">
        <v>94</v>
      </c>
      <c r="G25" s="9"/>
      <c r="H25" s="7" t="s">
        <v>104</v>
      </c>
      <c r="I25" s="7" t="s">
        <v>108</v>
      </c>
      <c r="J25" s="8" t="s">
        <v>21</v>
      </c>
      <c r="K25" s="6" t="s">
        <v>22</v>
      </c>
      <c r="L25" s="7"/>
      <c r="M25" s="8" t="s">
        <v>23</v>
      </c>
    </row>
    <row r="26" customFormat="false" ht="15" hidden="false" customHeight="false" outlineLevel="0" collapsed="false">
      <c r="A26" s="3" t="s">
        <v>115</v>
      </c>
      <c r="B26" s="3" t="s">
        <v>91</v>
      </c>
      <c r="C26" s="4" t="s">
        <v>15</v>
      </c>
      <c r="D26" s="3" t="s">
        <v>116</v>
      </c>
      <c r="E26" s="3" t="s">
        <v>117</v>
      </c>
      <c r="F26" s="3" t="s">
        <v>94</v>
      </c>
      <c r="G26" s="5"/>
      <c r="H26" s="3" t="s">
        <v>95</v>
      </c>
      <c r="I26" s="3" t="s">
        <v>118</v>
      </c>
      <c r="J26" s="4" t="s">
        <v>21</v>
      </c>
      <c r="K26" s="6" t="s">
        <v>22</v>
      </c>
      <c r="L26" s="3"/>
      <c r="M26" s="4" t="s">
        <v>23</v>
      </c>
    </row>
    <row r="27" customFormat="false" ht="15" hidden="false" customHeight="false" outlineLevel="0" collapsed="false">
      <c r="A27" s="7" t="s">
        <v>119</v>
      </c>
      <c r="B27" s="7" t="s">
        <v>91</v>
      </c>
      <c r="C27" s="8" t="s">
        <v>25</v>
      </c>
      <c r="D27" s="7" t="s">
        <v>120</v>
      </c>
      <c r="E27" s="7" t="s">
        <v>121</v>
      </c>
      <c r="F27" s="7" t="s">
        <v>94</v>
      </c>
      <c r="G27" s="9"/>
      <c r="H27" s="7" t="s">
        <v>100</v>
      </c>
      <c r="I27" s="7" t="s">
        <v>118</v>
      </c>
      <c r="J27" s="8" t="s">
        <v>21</v>
      </c>
      <c r="K27" s="6" t="s">
        <v>22</v>
      </c>
      <c r="L27" s="7"/>
      <c r="M27" s="8" t="s">
        <v>23</v>
      </c>
    </row>
    <row r="28" customFormat="false" ht="15" hidden="false" customHeight="false" outlineLevel="0" collapsed="false">
      <c r="A28" s="3" t="s">
        <v>122</v>
      </c>
      <c r="B28" s="3" t="s">
        <v>91</v>
      </c>
      <c r="C28" s="4" t="s">
        <v>31</v>
      </c>
      <c r="D28" s="3" t="s">
        <v>123</v>
      </c>
      <c r="E28" s="3" t="s">
        <v>124</v>
      </c>
      <c r="F28" s="3" t="s">
        <v>94</v>
      </c>
      <c r="G28" s="5"/>
      <c r="H28" s="3" t="s">
        <v>104</v>
      </c>
      <c r="I28" s="3" t="s">
        <v>118</v>
      </c>
      <c r="J28" s="4" t="s">
        <v>21</v>
      </c>
      <c r="K28" s="6" t="s">
        <v>22</v>
      </c>
      <c r="L28" s="3"/>
      <c r="M28" s="4" t="s">
        <v>23</v>
      </c>
    </row>
    <row r="29" customFormat="false" ht="15" hidden="false" customHeight="false" outlineLevel="0" collapsed="false">
      <c r="A29" s="7" t="s">
        <v>125</v>
      </c>
      <c r="B29" s="7" t="s">
        <v>91</v>
      </c>
      <c r="C29" s="8" t="s">
        <v>15</v>
      </c>
      <c r="D29" s="7" t="s">
        <v>126</v>
      </c>
      <c r="E29" s="7" t="s">
        <v>127</v>
      </c>
      <c r="F29" s="7" t="s">
        <v>94</v>
      </c>
      <c r="G29" s="9"/>
      <c r="H29" s="7" t="s">
        <v>95</v>
      </c>
      <c r="I29" s="7" t="s">
        <v>128</v>
      </c>
      <c r="J29" s="8" t="s">
        <v>21</v>
      </c>
      <c r="K29" s="6" t="s">
        <v>22</v>
      </c>
      <c r="L29" s="7"/>
      <c r="M29" s="8" t="s">
        <v>23</v>
      </c>
    </row>
    <row r="30" customFormat="false" ht="15" hidden="false" customHeight="false" outlineLevel="0" collapsed="false">
      <c r="A30" s="3" t="s">
        <v>129</v>
      </c>
      <c r="B30" s="3" t="s">
        <v>91</v>
      </c>
      <c r="C30" s="4" t="s">
        <v>25</v>
      </c>
      <c r="D30" s="3" t="s">
        <v>130</v>
      </c>
      <c r="E30" s="3" t="s">
        <v>131</v>
      </c>
      <c r="F30" s="3" t="s">
        <v>94</v>
      </c>
      <c r="G30" s="5"/>
      <c r="H30" s="3" t="s">
        <v>100</v>
      </c>
      <c r="I30" s="3" t="s">
        <v>128</v>
      </c>
      <c r="J30" s="4" t="s">
        <v>21</v>
      </c>
      <c r="K30" s="6" t="s">
        <v>22</v>
      </c>
      <c r="L30" s="3"/>
      <c r="M30" s="4" t="s">
        <v>23</v>
      </c>
    </row>
    <row r="31" customFormat="false" ht="15" hidden="false" customHeight="false" outlineLevel="0" collapsed="false">
      <c r="A31" s="7" t="s">
        <v>132</v>
      </c>
      <c r="B31" s="7" t="s">
        <v>91</v>
      </c>
      <c r="C31" s="8" t="s">
        <v>31</v>
      </c>
      <c r="D31" s="7" t="s">
        <v>133</v>
      </c>
      <c r="E31" s="7" t="s">
        <v>134</v>
      </c>
      <c r="F31" s="7" t="s">
        <v>94</v>
      </c>
      <c r="G31" s="9"/>
      <c r="H31" s="7" t="s">
        <v>104</v>
      </c>
      <c r="I31" s="7" t="s">
        <v>128</v>
      </c>
      <c r="J31" s="8" t="s">
        <v>21</v>
      </c>
      <c r="K31" s="6" t="s">
        <v>22</v>
      </c>
      <c r="L31" s="7"/>
      <c r="M31" s="8" t="s">
        <v>23</v>
      </c>
    </row>
    <row r="32" customFormat="false" ht="15" hidden="false" customHeight="false" outlineLevel="0" collapsed="false">
      <c r="A32" s="3" t="s">
        <v>135</v>
      </c>
      <c r="B32" s="3" t="s">
        <v>91</v>
      </c>
      <c r="C32" s="4" t="s">
        <v>15</v>
      </c>
      <c r="D32" s="3" t="s">
        <v>136</v>
      </c>
      <c r="E32" s="3" t="s">
        <v>137</v>
      </c>
      <c r="F32" s="3" t="s">
        <v>94</v>
      </c>
      <c r="G32" s="5"/>
      <c r="H32" s="3" t="s">
        <v>95</v>
      </c>
      <c r="I32" s="3" t="s">
        <v>138</v>
      </c>
      <c r="J32" s="4" t="s">
        <v>21</v>
      </c>
      <c r="K32" s="6" t="s">
        <v>22</v>
      </c>
      <c r="L32" s="3"/>
      <c r="M32" s="4" t="s">
        <v>23</v>
      </c>
    </row>
    <row r="33" customFormat="false" ht="15" hidden="false" customHeight="false" outlineLevel="0" collapsed="false">
      <c r="A33" s="7" t="s">
        <v>139</v>
      </c>
      <c r="B33" s="7" t="s">
        <v>91</v>
      </c>
      <c r="C33" s="8" t="s">
        <v>25</v>
      </c>
      <c r="D33" s="7" t="s">
        <v>140</v>
      </c>
      <c r="E33" s="7" t="s">
        <v>141</v>
      </c>
      <c r="F33" s="7" t="s">
        <v>94</v>
      </c>
      <c r="G33" s="9"/>
      <c r="H33" s="7" t="s">
        <v>100</v>
      </c>
      <c r="I33" s="7" t="s">
        <v>138</v>
      </c>
      <c r="J33" s="8" t="s">
        <v>21</v>
      </c>
      <c r="K33" s="6" t="s">
        <v>22</v>
      </c>
      <c r="L33" s="7"/>
      <c r="M33" s="8" t="s">
        <v>23</v>
      </c>
    </row>
    <row r="34" customFormat="false" ht="15" hidden="false" customHeight="false" outlineLevel="0" collapsed="false">
      <c r="A34" s="3" t="s">
        <v>142</v>
      </c>
      <c r="B34" s="3" t="s">
        <v>91</v>
      </c>
      <c r="C34" s="4" t="s">
        <v>31</v>
      </c>
      <c r="D34" s="3" t="s">
        <v>143</v>
      </c>
      <c r="E34" s="3" t="s">
        <v>144</v>
      </c>
      <c r="F34" s="3" t="s">
        <v>94</v>
      </c>
      <c r="G34" s="5"/>
      <c r="H34" s="3" t="s">
        <v>104</v>
      </c>
      <c r="I34" s="3" t="s">
        <v>138</v>
      </c>
      <c r="J34" s="4" t="s">
        <v>21</v>
      </c>
      <c r="K34" s="6" t="s">
        <v>22</v>
      </c>
      <c r="L34" s="3"/>
      <c r="M34" s="4" t="s">
        <v>23</v>
      </c>
    </row>
    <row r="35" customFormat="false" ht="15" hidden="false" customHeight="false" outlineLevel="0" collapsed="false">
      <c r="A35" s="7" t="s">
        <v>145</v>
      </c>
      <c r="B35" s="7" t="s">
        <v>91</v>
      </c>
      <c r="C35" s="8" t="s">
        <v>15</v>
      </c>
      <c r="D35" s="7" t="s">
        <v>146</v>
      </c>
      <c r="E35" s="7" t="s">
        <v>147</v>
      </c>
      <c r="F35" s="7" t="s">
        <v>94</v>
      </c>
      <c r="G35" s="9"/>
      <c r="H35" s="7" t="s">
        <v>95</v>
      </c>
      <c r="I35" s="7" t="s">
        <v>148</v>
      </c>
      <c r="J35" s="8" t="s">
        <v>21</v>
      </c>
      <c r="K35" s="6" t="s">
        <v>22</v>
      </c>
      <c r="L35" s="7"/>
      <c r="M35" s="8" t="s">
        <v>23</v>
      </c>
    </row>
    <row r="36" customFormat="false" ht="15" hidden="false" customHeight="false" outlineLevel="0" collapsed="false">
      <c r="A36" s="3" t="s">
        <v>149</v>
      </c>
      <c r="B36" s="3" t="s">
        <v>91</v>
      </c>
      <c r="C36" s="4" t="s">
        <v>25</v>
      </c>
      <c r="D36" s="3" t="s">
        <v>150</v>
      </c>
      <c r="E36" s="3" t="s">
        <v>151</v>
      </c>
      <c r="F36" s="3" t="s">
        <v>94</v>
      </c>
      <c r="G36" s="5"/>
      <c r="H36" s="3" t="s">
        <v>100</v>
      </c>
      <c r="I36" s="3" t="s">
        <v>148</v>
      </c>
      <c r="J36" s="4" t="s">
        <v>21</v>
      </c>
      <c r="K36" s="6" t="s">
        <v>22</v>
      </c>
      <c r="L36" s="3"/>
      <c r="M36" s="4" t="s">
        <v>23</v>
      </c>
    </row>
    <row r="37" customFormat="false" ht="15" hidden="false" customHeight="false" outlineLevel="0" collapsed="false">
      <c r="A37" s="7" t="s">
        <v>152</v>
      </c>
      <c r="B37" s="7" t="s">
        <v>91</v>
      </c>
      <c r="C37" s="8" t="s">
        <v>31</v>
      </c>
      <c r="D37" s="7" t="s">
        <v>153</v>
      </c>
      <c r="E37" s="7" t="s">
        <v>154</v>
      </c>
      <c r="F37" s="7" t="s">
        <v>94</v>
      </c>
      <c r="G37" s="9"/>
      <c r="H37" s="7" t="s">
        <v>104</v>
      </c>
      <c r="I37" s="7" t="s">
        <v>148</v>
      </c>
      <c r="J37" s="8" t="s">
        <v>21</v>
      </c>
      <c r="K37" s="6" t="s">
        <v>22</v>
      </c>
      <c r="L37" s="7"/>
      <c r="M37" s="8" t="s">
        <v>23</v>
      </c>
    </row>
    <row r="38" customFormat="false" ht="15" hidden="false" customHeight="false" outlineLevel="0" collapsed="false">
      <c r="A38" s="3" t="s">
        <v>155</v>
      </c>
      <c r="B38" s="3" t="s">
        <v>91</v>
      </c>
      <c r="C38" s="4" t="s">
        <v>15</v>
      </c>
      <c r="D38" s="3" t="s">
        <v>156</v>
      </c>
      <c r="E38" s="3" t="s">
        <v>157</v>
      </c>
      <c r="F38" s="3" t="s">
        <v>94</v>
      </c>
      <c r="G38" s="5"/>
      <c r="H38" s="3" t="s">
        <v>95</v>
      </c>
      <c r="I38" s="3" t="s">
        <v>158</v>
      </c>
      <c r="J38" s="4" t="s">
        <v>21</v>
      </c>
      <c r="K38" s="6" t="s">
        <v>22</v>
      </c>
      <c r="L38" s="3"/>
      <c r="M38" s="4" t="s">
        <v>23</v>
      </c>
    </row>
    <row r="39" customFormat="false" ht="15" hidden="false" customHeight="false" outlineLevel="0" collapsed="false">
      <c r="A39" s="7" t="s">
        <v>159</v>
      </c>
      <c r="B39" s="7" t="s">
        <v>91</v>
      </c>
      <c r="C39" s="8" t="s">
        <v>25</v>
      </c>
      <c r="D39" s="7" t="s">
        <v>160</v>
      </c>
      <c r="E39" s="7" t="s">
        <v>161</v>
      </c>
      <c r="F39" s="7" t="s">
        <v>94</v>
      </c>
      <c r="G39" s="9"/>
      <c r="H39" s="7" t="s">
        <v>100</v>
      </c>
      <c r="I39" s="7" t="s">
        <v>158</v>
      </c>
      <c r="J39" s="8" t="s">
        <v>21</v>
      </c>
      <c r="K39" s="6" t="s">
        <v>22</v>
      </c>
      <c r="L39" s="7"/>
      <c r="M39" s="8" t="s">
        <v>23</v>
      </c>
    </row>
    <row r="40" customFormat="false" ht="15" hidden="false" customHeight="false" outlineLevel="0" collapsed="false">
      <c r="A40" s="3" t="s">
        <v>162</v>
      </c>
      <c r="B40" s="3" t="s">
        <v>91</v>
      </c>
      <c r="C40" s="4" t="s">
        <v>31</v>
      </c>
      <c r="D40" s="3" t="s">
        <v>163</v>
      </c>
      <c r="E40" s="3" t="s">
        <v>164</v>
      </c>
      <c r="F40" s="3" t="s">
        <v>94</v>
      </c>
      <c r="G40" s="5"/>
      <c r="H40" s="3" t="s">
        <v>104</v>
      </c>
      <c r="I40" s="3" t="s">
        <v>158</v>
      </c>
      <c r="J40" s="4" t="s">
        <v>21</v>
      </c>
      <c r="K40" s="6" t="s">
        <v>22</v>
      </c>
      <c r="L40" s="3"/>
      <c r="M40" s="4" t="s">
        <v>23</v>
      </c>
    </row>
    <row r="41" customFormat="false" ht="15" hidden="false" customHeight="false" outlineLevel="0" collapsed="false">
      <c r="A41" s="7" t="s">
        <v>165</v>
      </c>
      <c r="B41" s="7" t="s">
        <v>91</v>
      </c>
      <c r="C41" s="8" t="s">
        <v>15</v>
      </c>
      <c r="D41" s="7" t="s">
        <v>166</v>
      </c>
      <c r="E41" s="7" t="s">
        <v>167</v>
      </c>
      <c r="F41" s="7" t="s">
        <v>94</v>
      </c>
      <c r="G41" s="9"/>
      <c r="H41" s="7" t="s">
        <v>95</v>
      </c>
      <c r="I41" s="7" t="s">
        <v>168</v>
      </c>
      <c r="J41" s="8" t="s">
        <v>21</v>
      </c>
      <c r="K41" s="6" t="s">
        <v>22</v>
      </c>
      <c r="L41" s="7"/>
      <c r="M41" s="8" t="s">
        <v>23</v>
      </c>
    </row>
    <row r="42" customFormat="false" ht="15" hidden="false" customHeight="false" outlineLevel="0" collapsed="false">
      <c r="A42" s="3" t="s">
        <v>169</v>
      </c>
      <c r="B42" s="3" t="s">
        <v>91</v>
      </c>
      <c r="C42" s="4" t="s">
        <v>25</v>
      </c>
      <c r="D42" s="3" t="s">
        <v>170</v>
      </c>
      <c r="E42" s="3" t="s">
        <v>171</v>
      </c>
      <c r="F42" s="3" t="s">
        <v>94</v>
      </c>
      <c r="G42" s="5"/>
      <c r="H42" s="3" t="s">
        <v>100</v>
      </c>
      <c r="I42" s="3" t="s">
        <v>168</v>
      </c>
      <c r="J42" s="4" t="s">
        <v>21</v>
      </c>
      <c r="K42" s="6" t="s">
        <v>22</v>
      </c>
      <c r="L42" s="3"/>
      <c r="M42" s="4" t="s">
        <v>23</v>
      </c>
    </row>
    <row r="43" customFormat="false" ht="15" hidden="false" customHeight="false" outlineLevel="0" collapsed="false">
      <c r="A43" s="7" t="s">
        <v>172</v>
      </c>
      <c r="B43" s="7" t="s">
        <v>91</v>
      </c>
      <c r="C43" s="8" t="s">
        <v>31</v>
      </c>
      <c r="D43" s="7" t="s">
        <v>173</v>
      </c>
      <c r="E43" s="7" t="s">
        <v>174</v>
      </c>
      <c r="F43" s="7" t="s">
        <v>94</v>
      </c>
      <c r="G43" s="9"/>
      <c r="H43" s="7" t="s">
        <v>104</v>
      </c>
      <c r="I43" s="7" t="s">
        <v>168</v>
      </c>
      <c r="J43" s="8" t="s">
        <v>21</v>
      </c>
      <c r="K43" s="6" t="s">
        <v>22</v>
      </c>
      <c r="L43" s="7"/>
      <c r="M43" s="8" t="s">
        <v>23</v>
      </c>
    </row>
    <row r="44" customFormat="false" ht="15" hidden="false" customHeight="false" outlineLevel="0" collapsed="false">
      <c r="A44" s="3" t="s">
        <v>175</v>
      </c>
      <c r="B44" s="3" t="s">
        <v>91</v>
      </c>
      <c r="C44" s="4" t="s">
        <v>15</v>
      </c>
      <c r="D44" s="3" t="s">
        <v>176</v>
      </c>
      <c r="E44" s="3" t="s">
        <v>177</v>
      </c>
      <c r="F44" s="3" t="s">
        <v>94</v>
      </c>
      <c r="G44" s="5"/>
      <c r="H44" s="3" t="s">
        <v>95</v>
      </c>
      <c r="I44" s="3" t="s">
        <v>178</v>
      </c>
      <c r="J44" s="4" t="s">
        <v>21</v>
      </c>
      <c r="K44" s="6" t="s">
        <v>22</v>
      </c>
      <c r="L44" s="3"/>
      <c r="M44" s="4" t="s">
        <v>23</v>
      </c>
    </row>
    <row r="45" customFormat="false" ht="15" hidden="false" customHeight="false" outlineLevel="0" collapsed="false">
      <c r="A45" s="7" t="s">
        <v>179</v>
      </c>
      <c r="B45" s="7" t="s">
        <v>91</v>
      </c>
      <c r="C45" s="8" t="s">
        <v>25</v>
      </c>
      <c r="D45" s="7" t="s">
        <v>180</v>
      </c>
      <c r="E45" s="7" t="s">
        <v>181</v>
      </c>
      <c r="F45" s="7" t="s">
        <v>94</v>
      </c>
      <c r="G45" s="9"/>
      <c r="H45" s="7" t="s">
        <v>100</v>
      </c>
      <c r="I45" s="7" t="s">
        <v>178</v>
      </c>
      <c r="J45" s="8" t="s">
        <v>21</v>
      </c>
      <c r="K45" s="6" t="s">
        <v>22</v>
      </c>
      <c r="L45" s="7"/>
      <c r="M45" s="8" t="s">
        <v>23</v>
      </c>
    </row>
    <row r="46" customFormat="false" ht="15" hidden="false" customHeight="false" outlineLevel="0" collapsed="false">
      <c r="A46" s="3" t="s">
        <v>182</v>
      </c>
      <c r="B46" s="3" t="s">
        <v>91</v>
      </c>
      <c r="C46" s="4" t="s">
        <v>31</v>
      </c>
      <c r="D46" s="3" t="s">
        <v>183</v>
      </c>
      <c r="E46" s="3" t="s">
        <v>184</v>
      </c>
      <c r="F46" s="3" t="s">
        <v>94</v>
      </c>
      <c r="G46" s="5"/>
      <c r="H46" s="3" t="s">
        <v>104</v>
      </c>
      <c r="I46" s="3" t="s">
        <v>178</v>
      </c>
      <c r="J46" s="4" t="s">
        <v>21</v>
      </c>
      <c r="K46" s="6" t="s">
        <v>22</v>
      </c>
      <c r="L46" s="3"/>
      <c r="M46" s="4" t="s">
        <v>23</v>
      </c>
    </row>
    <row r="47" customFormat="false" ht="15" hidden="false" customHeight="false" outlineLevel="0" collapsed="false">
      <c r="A47" s="7" t="s">
        <v>185</v>
      </c>
      <c r="B47" s="7" t="s">
        <v>91</v>
      </c>
      <c r="C47" s="8" t="s">
        <v>15</v>
      </c>
      <c r="D47" s="7" t="s">
        <v>186</v>
      </c>
      <c r="E47" s="7" t="s">
        <v>187</v>
      </c>
      <c r="F47" s="7" t="s">
        <v>94</v>
      </c>
      <c r="G47" s="9"/>
      <c r="H47" s="7" t="s">
        <v>95</v>
      </c>
      <c r="I47" s="7" t="s">
        <v>188</v>
      </c>
      <c r="J47" s="8" t="s">
        <v>21</v>
      </c>
      <c r="K47" s="6" t="s">
        <v>22</v>
      </c>
      <c r="L47" s="7"/>
      <c r="M47" s="8" t="s">
        <v>23</v>
      </c>
    </row>
    <row r="48" customFormat="false" ht="15" hidden="false" customHeight="false" outlineLevel="0" collapsed="false">
      <c r="A48" s="3" t="s">
        <v>189</v>
      </c>
      <c r="B48" s="3" t="s">
        <v>91</v>
      </c>
      <c r="C48" s="4" t="s">
        <v>25</v>
      </c>
      <c r="D48" s="3" t="s">
        <v>190</v>
      </c>
      <c r="E48" s="3" t="s">
        <v>191</v>
      </c>
      <c r="F48" s="3" t="s">
        <v>94</v>
      </c>
      <c r="G48" s="5"/>
      <c r="H48" s="3" t="s">
        <v>100</v>
      </c>
      <c r="I48" s="3" t="s">
        <v>188</v>
      </c>
      <c r="J48" s="4" t="s">
        <v>21</v>
      </c>
      <c r="K48" s="6" t="s">
        <v>22</v>
      </c>
      <c r="L48" s="3"/>
      <c r="M48" s="4" t="s">
        <v>23</v>
      </c>
    </row>
    <row r="49" customFormat="false" ht="15" hidden="false" customHeight="false" outlineLevel="0" collapsed="false">
      <c r="A49" s="7" t="s">
        <v>192</v>
      </c>
      <c r="B49" s="7" t="s">
        <v>91</v>
      </c>
      <c r="C49" s="8" t="s">
        <v>31</v>
      </c>
      <c r="D49" s="7" t="s">
        <v>193</v>
      </c>
      <c r="E49" s="7" t="s">
        <v>194</v>
      </c>
      <c r="F49" s="7" t="s">
        <v>94</v>
      </c>
      <c r="G49" s="9"/>
      <c r="H49" s="7" t="s">
        <v>104</v>
      </c>
      <c r="I49" s="7" t="s">
        <v>188</v>
      </c>
      <c r="J49" s="8" t="s">
        <v>21</v>
      </c>
      <c r="K49" s="6" t="s">
        <v>22</v>
      </c>
      <c r="L49" s="7"/>
      <c r="M49" s="8" t="s">
        <v>23</v>
      </c>
    </row>
    <row r="50" customFormat="false" ht="15" hidden="false" customHeight="false" outlineLevel="0" collapsed="false">
      <c r="A50" s="3" t="s">
        <v>195</v>
      </c>
      <c r="B50" s="3" t="s">
        <v>91</v>
      </c>
      <c r="C50" s="4" t="s">
        <v>15</v>
      </c>
      <c r="D50" s="3" t="s">
        <v>196</v>
      </c>
      <c r="E50" s="3" t="s">
        <v>197</v>
      </c>
      <c r="F50" s="3" t="s">
        <v>94</v>
      </c>
      <c r="G50" s="5"/>
      <c r="H50" s="3" t="s">
        <v>95</v>
      </c>
      <c r="I50" s="3" t="s">
        <v>198</v>
      </c>
      <c r="J50" s="4" t="s">
        <v>21</v>
      </c>
      <c r="K50" s="6" t="s">
        <v>22</v>
      </c>
      <c r="L50" s="3"/>
      <c r="M50" s="4" t="s">
        <v>23</v>
      </c>
    </row>
    <row r="51" customFormat="false" ht="15" hidden="false" customHeight="false" outlineLevel="0" collapsed="false">
      <c r="A51" s="7" t="s">
        <v>199</v>
      </c>
      <c r="B51" s="7" t="s">
        <v>91</v>
      </c>
      <c r="C51" s="8" t="s">
        <v>25</v>
      </c>
      <c r="D51" s="7" t="s">
        <v>200</v>
      </c>
      <c r="E51" s="7" t="s">
        <v>201</v>
      </c>
      <c r="F51" s="7" t="s">
        <v>94</v>
      </c>
      <c r="G51" s="9"/>
      <c r="H51" s="7" t="s">
        <v>100</v>
      </c>
      <c r="I51" s="7" t="s">
        <v>198</v>
      </c>
      <c r="J51" s="8" t="s">
        <v>21</v>
      </c>
      <c r="K51" s="6" t="s">
        <v>22</v>
      </c>
      <c r="L51" s="7"/>
      <c r="M51" s="8" t="s">
        <v>23</v>
      </c>
    </row>
    <row r="52" customFormat="false" ht="15" hidden="false" customHeight="false" outlineLevel="0" collapsed="false">
      <c r="A52" s="3" t="s">
        <v>202</v>
      </c>
      <c r="B52" s="3" t="s">
        <v>91</v>
      </c>
      <c r="C52" s="4" t="s">
        <v>31</v>
      </c>
      <c r="D52" s="3" t="s">
        <v>203</v>
      </c>
      <c r="E52" s="3" t="s">
        <v>204</v>
      </c>
      <c r="F52" s="3" t="s">
        <v>94</v>
      </c>
      <c r="G52" s="5"/>
      <c r="H52" s="3" t="s">
        <v>104</v>
      </c>
      <c r="I52" s="3" t="s">
        <v>198</v>
      </c>
      <c r="J52" s="4" t="s">
        <v>21</v>
      </c>
      <c r="K52" s="6" t="s">
        <v>22</v>
      </c>
      <c r="L52" s="3"/>
      <c r="M52" s="4" t="s">
        <v>23</v>
      </c>
    </row>
    <row r="53" customFormat="false" ht="15" hidden="false" customHeight="false" outlineLevel="0" collapsed="false">
      <c r="A53" s="7" t="s">
        <v>205</v>
      </c>
      <c r="B53" s="7" t="s">
        <v>91</v>
      </c>
      <c r="C53" s="8" t="s">
        <v>15</v>
      </c>
      <c r="D53" s="7" t="s">
        <v>206</v>
      </c>
      <c r="E53" s="7" t="s">
        <v>207</v>
      </c>
      <c r="F53" s="7" t="s">
        <v>94</v>
      </c>
      <c r="G53" s="9"/>
      <c r="H53" s="7" t="s">
        <v>95</v>
      </c>
      <c r="I53" s="7" t="s">
        <v>208</v>
      </c>
      <c r="J53" s="8" t="s">
        <v>21</v>
      </c>
      <c r="K53" s="6" t="s">
        <v>22</v>
      </c>
      <c r="L53" s="7"/>
      <c r="M53" s="8" t="s">
        <v>23</v>
      </c>
    </row>
    <row r="54" customFormat="false" ht="15" hidden="false" customHeight="false" outlineLevel="0" collapsed="false">
      <c r="A54" s="3" t="s">
        <v>209</v>
      </c>
      <c r="B54" s="3" t="s">
        <v>91</v>
      </c>
      <c r="C54" s="4" t="s">
        <v>25</v>
      </c>
      <c r="D54" s="3" t="s">
        <v>210</v>
      </c>
      <c r="E54" s="3" t="s">
        <v>211</v>
      </c>
      <c r="F54" s="3" t="s">
        <v>94</v>
      </c>
      <c r="G54" s="5"/>
      <c r="H54" s="3" t="s">
        <v>100</v>
      </c>
      <c r="I54" s="3" t="s">
        <v>208</v>
      </c>
      <c r="J54" s="4" t="s">
        <v>21</v>
      </c>
      <c r="K54" s="6" t="s">
        <v>22</v>
      </c>
      <c r="L54" s="3"/>
      <c r="M54" s="4" t="s">
        <v>23</v>
      </c>
    </row>
    <row r="55" customFormat="false" ht="15" hidden="false" customHeight="false" outlineLevel="0" collapsed="false">
      <c r="A55" s="7" t="s">
        <v>212</v>
      </c>
      <c r="B55" s="7" t="s">
        <v>91</v>
      </c>
      <c r="C55" s="8" t="s">
        <v>31</v>
      </c>
      <c r="D55" s="7" t="s">
        <v>213</v>
      </c>
      <c r="E55" s="7" t="s">
        <v>214</v>
      </c>
      <c r="F55" s="7" t="s">
        <v>94</v>
      </c>
      <c r="G55" s="9"/>
      <c r="H55" s="7" t="s">
        <v>104</v>
      </c>
      <c r="I55" s="7" t="s">
        <v>208</v>
      </c>
      <c r="J55" s="8" t="s">
        <v>21</v>
      </c>
      <c r="K55" s="6" t="s">
        <v>22</v>
      </c>
      <c r="L55" s="7"/>
      <c r="M55" s="8" t="s">
        <v>23</v>
      </c>
    </row>
    <row r="56" customFormat="false" ht="15" hidden="false" customHeight="false" outlineLevel="0" collapsed="false">
      <c r="A56" s="3" t="s">
        <v>215</v>
      </c>
      <c r="B56" s="3" t="s">
        <v>91</v>
      </c>
      <c r="C56" s="4" t="s">
        <v>15</v>
      </c>
      <c r="D56" s="3" t="s">
        <v>216</v>
      </c>
      <c r="E56" s="3" t="s">
        <v>217</v>
      </c>
      <c r="F56" s="3" t="s">
        <v>94</v>
      </c>
      <c r="G56" s="5"/>
      <c r="H56" s="3" t="s">
        <v>95</v>
      </c>
      <c r="I56" s="3" t="s">
        <v>218</v>
      </c>
      <c r="J56" s="4" t="s">
        <v>21</v>
      </c>
      <c r="K56" s="6" t="s">
        <v>22</v>
      </c>
      <c r="L56" s="3"/>
      <c r="M56" s="4" t="s">
        <v>23</v>
      </c>
    </row>
    <row r="57" customFormat="false" ht="15" hidden="false" customHeight="false" outlineLevel="0" collapsed="false">
      <c r="A57" s="7" t="s">
        <v>219</v>
      </c>
      <c r="B57" s="7" t="s">
        <v>91</v>
      </c>
      <c r="C57" s="8" t="s">
        <v>25</v>
      </c>
      <c r="D57" s="7" t="s">
        <v>220</v>
      </c>
      <c r="E57" s="7" t="s">
        <v>221</v>
      </c>
      <c r="F57" s="7" t="s">
        <v>94</v>
      </c>
      <c r="G57" s="9"/>
      <c r="H57" s="7" t="s">
        <v>100</v>
      </c>
      <c r="I57" s="7" t="s">
        <v>218</v>
      </c>
      <c r="J57" s="8" t="s">
        <v>21</v>
      </c>
      <c r="K57" s="6" t="s">
        <v>22</v>
      </c>
      <c r="L57" s="7"/>
      <c r="M57" s="8" t="s">
        <v>23</v>
      </c>
    </row>
    <row r="58" customFormat="false" ht="15" hidden="false" customHeight="false" outlineLevel="0" collapsed="false">
      <c r="A58" s="3" t="s">
        <v>222</v>
      </c>
      <c r="B58" s="3" t="s">
        <v>91</v>
      </c>
      <c r="C58" s="4" t="s">
        <v>31</v>
      </c>
      <c r="D58" s="3" t="s">
        <v>223</v>
      </c>
      <c r="E58" s="3" t="s">
        <v>224</v>
      </c>
      <c r="F58" s="3" t="s">
        <v>94</v>
      </c>
      <c r="G58" s="5"/>
      <c r="H58" s="3" t="s">
        <v>104</v>
      </c>
      <c r="I58" s="3" t="s">
        <v>218</v>
      </c>
      <c r="J58" s="4" t="s">
        <v>21</v>
      </c>
      <c r="K58" s="6" t="s">
        <v>22</v>
      </c>
      <c r="L58" s="3"/>
      <c r="M58" s="4" t="s">
        <v>23</v>
      </c>
    </row>
    <row r="59" customFormat="false" ht="15" hidden="false" customHeight="false" outlineLevel="0" collapsed="false">
      <c r="A59" s="7" t="s">
        <v>225</v>
      </c>
      <c r="B59" s="7" t="s">
        <v>91</v>
      </c>
      <c r="C59" s="8" t="s">
        <v>15</v>
      </c>
      <c r="D59" s="7" t="s">
        <v>226</v>
      </c>
      <c r="E59" s="7" t="s">
        <v>227</v>
      </c>
      <c r="F59" s="7" t="s">
        <v>94</v>
      </c>
      <c r="G59" s="9"/>
      <c r="H59" s="7" t="s">
        <v>95</v>
      </c>
      <c r="I59" s="7" t="s">
        <v>228</v>
      </c>
      <c r="J59" s="8" t="s">
        <v>21</v>
      </c>
      <c r="K59" s="6" t="s">
        <v>22</v>
      </c>
      <c r="L59" s="7"/>
      <c r="M59" s="8" t="s">
        <v>23</v>
      </c>
    </row>
    <row r="60" customFormat="false" ht="15" hidden="false" customHeight="false" outlineLevel="0" collapsed="false">
      <c r="A60" s="3" t="s">
        <v>229</v>
      </c>
      <c r="B60" s="3" t="s">
        <v>91</v>
      </c>
      <c r="C60" s="4" t="s">
        <v>25</v>
      </c>
      <c r="D60" s="3" t="s">
        <v>230</v>
      </c>
      <c r="E60" s="3" t="s">
        <v>231</v>
      </c>
      <c r="F60" s="3" t="s">
        <v>94</v>
      </c>
      <c r="G60" s="5"/>
      <c r="H60" s="3" t="s">
        <v>100</v>
      </c>
      <c r="I60" s="3" t="s">
        <v>228</v>
      </c>
      <c r="J60" s="4" t="s">
        <v>21</v>
      </c>
      <c r="K60" s="6" t="s">
        <v>22</v>
      </c>
      <c r="L60" s="3"/>
      <c r="M60" s="4" t="s">
        <v>23</v>
      </c>
    </row>
    <row r="61" customFormat="false" ht="15" hidden="false" customHeight="false" outlineLevel="0" collapsed="false">
      <c r="A61" s="7" t="s">
        <v>232</v>
      </c>
      <c r="B61" s="7" t="s">
        <v>91</v>
      </c>
      <c r="C61" s="8" t="s">
        <v>31</v>
      </c>
      <c r="D61" s="7" t="s">
        <v>233</v>
      </c>
      <c r="E61" s="7" t="s">
        <v>234</v>
      </c>
      <c r="F61" s="7" t="s">
        <v>94</v>
      </c>
      <c r="G61" s="9"/>
      <c r="H61" s="7" t="s">
        <v>104</v>
      </c>
      <c r="I61" s="7" t="s">
        <v>228</v>
      </c>
      <c r="J61" s="8" t="s">
        <v>21</v>
      </c>
      <c r="K61" s="6" t="s">
        <v>22</v>
      </c>
      <c r="L61" s="7"/>
      <c r="M61" s="8" t="s">
        <v>23</v>
      </c>
    </row>
    <row r="62" customFormat="false" ht="15" hidden="false" customHeight="false" outlineLevel="0" collapsed="false">
      <c r="A62" s="3" t="s">
        <v>235</v>
      </c>
      <c r="B62" s="3" t="s">
        <v>91</v>
      </c>
      <c r="C62" s="4" t="s">
        <v>15</v>
      </c>
      <c r="D62" s="3" t="s">
        <v>236</v>
      </c>
      <c r="E62" s="3" t="s">
        <v>237</v>
      </c>
      <c r="F62" s="3" t="s">
        <v>94</v>
      </c>
      <c r="G62" s="5"/>
      <c r="H62" s="3" t="s">
        <v>95</v>
      </c>
      <c r="I62" s="3" t="s">
        <v>238</v>
      </c>
      <c r="J62" s="4" t="s">
        <v>21</v>
      </c>
      <c r="K62" s="6" t="s">
        <v>22</v>
      </c>
      <c r="L62" s="3"/>
      <c r="M62" s="4" t="s">
        <v>23</v>
      </c>
    </row>
    <row r="63" customFormat="false" ht="15" hidden="false" customHeight="false" outlineLevel="0" collapsed="false">
      <c r="A63" s="7" t="s">
        <v>239</v>
      </c>
      <c r="B63" s="7" t="s">
        <v>91</v>
      </c>
      <c r="C63" s="8" t="s">
        <v>25</v>
      </c>
      <c r="D63" s="7" t="s">
        <v>240</v>
      </c>
      <c r="E63" s="7" t="s">
        <v>241</v>
      </c>
      <c r="F63" s="7" t="s">
        <v>94</v>
      </c>
      <c r="G63" s="9"/>
      <c r="H63" s="7" t="s">
        <v>100</v>
      </c>
      <c r="I63" s="7" t="s">
        <v>238</v>
      </c>
      <c r="J63" s="8" t="s">
        <v>21</v>
      </c>
      <c r="K63" s="6" t="s">
        <v>22</v>
      </c>
      <c r="L63" s="7"/>
      <c r="M63" s="8" t="s">
        <v>23</v>
      </c>
    </row>
    <row r="64" customFormat="false" ht="15" hidden="false" customHeight="false" outlineLevel="0" collapsed="false">
      <c r="A64" s="3" t="s">
        <v>242</v>
      </c>
      <c r="B64" s="3" t="s">
        <v>91</v>
      </c>
      <c r="C64" s="4" t="s">
        <v>31</v>
      </c>
      <c r="D64" s="3" t="s">
        <v>243</v>
      </c>
      <c r="E64" s="3" t="s">
        <v>244</v>
      </c>
      <c r="F64" s="3" t="s">
        <v>94</v>
      </c>
      <c r="G64" s="5"/>
      <c r="H64" s="3" t="s">
        <v>104</v>
      </c>
      <c r="I64" s="3" t="s">
        <v>238</v>
      </c>
      <c r="J64" s="4" t="s">
        <v>21</v>
      </c>
      <c r="K64" s="6" t="s">
        <v>22</v>
      </c>
      <c r="L64" s="3"/>
      <c r="M64" s="4" t="s">
        <v>23</v>
      </c>
    </row>
    <row r="65" customFormat="false" ht="15" hidden="false" customHeight="false" outlineLevel="0" collapsed="false">
      <c r="A65" s="7" t="s">
        <v>245</v>
      </c>
      <c r="B65" s="7" t="s">
        <v>91</v>
      </c>
      <c r="C65" s="8" t="s">
        <v>15</v>
      </c>
      <c r="D65" s="7" t="s">
        <v>246</v>
      </c>
      <c r="E65" s="7" t="s">
        <v>247</v>
      </c>
      <c r="F65" s="7" t="s">
        <v>94</v>
      </c>
      <c r="G65" s="9"/>
      <c r="H65" s="7" t="s">
        <v>95</v>
      </c>
      <c r="I65" s="7" t="s">
        <v>248</v>
      </c>
      <c r="J65" s="8" t="s">
        <v>21</v>
      </c>
      <c r="K65" s="6" t="s">
        <v>22</v>
      </c>
      <c r="L65" s="7"/>
      <c r="M65" s="8" t="s">
        <v>23</v>
      </c>
    </row>
    <row r="66" customFormat="false" ht="15" hidden="false" customHeight="false" outlineLevel="0" collapsed="false">
      <c r="A66" s="3" t="s">
        <v>249</v>
      </c>
      <c r="B66" s="3" t="s">
        <v>91</v>
      </c>
      <c r="C66" s="4" t="s">
        <v>25</v>
      </c>
      <c r="D66" s="3" t="s">
        <v>250</v>
      </c>
      <c r="E66" s="3" t="s">
        <v>251</v>
      </c>
      <c r="F66" s="3" t="s">
        <v>94</v>
      </c>
      <c r="G66" s="5"/>
      <c r="H66" s="3" t="s">
        <v>100</v>
      </c>
      <c r="I66" s="3" t="s">
        <v>248</v>
      </c>
      <c r="J66" s="4" t="s">
        <v>21</v>
      </c>
      <c r="K66" s="6" t="s">
        <v>22</v>
      </c>
      <c r="L66" s="3"/>
      <c r="M66" s="4" t="s">
        <v>23</v>
      </c>
    </row>
    <row r="67" customFormat="false" ht="15" hidden="false" customHeight="false" outlineLevel="0" collapsed="false">
      <c r="A67" s="7" t="s">
        <v>252</v>
      </c>
      <c r="B67" s="7" t="s">
        <v>91</v>
      </c>
      <c r="C67" s="8" t="s">
        <v>31</v>
      </c>
      <c r="D67" s="7" t="s">
        <v>253</v>
      </c>
      <c r="E67" s="7" t="s">
        <v>254</v>
      </c>
      <c r="F67" s="7" t="s">
        <v>94</v>
      </c>
      <c r="G67" s="9"/>
      <c r="H67" s="7" t="s">
        <v>104</v>
      </c>
      <c r="I67" s="7" t="s">
        <v>248</v>
      </c>
      <c r="J67" s="8" t="s">
        <v>21</v>
      </c>
      <c r="K67" s="6" t="s">
        <v>22</v>
      </c>
      <c r="L67" s="7"/>
      <c r="M67" s="8" t="s">
        <v>23</v>
      </c>
    </row>
    <row r="68" customFormat="false" ht="15" hidden="false" customHeight="false" outlineLevel="0" collapsed="false">
      <c r="A68" s="3" t="s">
        <v>255</v>
      </c>
      <c r="B68" s="3" t="s">
        <v>91</v>
      </c>
      <c r="C68" s="4" t="s">
        <v>15</v>
      </c>
      <c r="D68" s="3" t="s">
        <v>256</v>
      </c>
      <c r="E68" s="3" t="s">
        <v>257</v>
      </c>
      <c r="F68" s="3" t="s">
        <v>94</v>
      </c>
      <c r="G68" s="5"/>
      <c r="H68" s="3" t="s">
        <v>95</v>
      </c>
      <c r="I68" s="3" t="s">
        <v>258</v>
      </c>
      <c r="J68" s="4" t="s">
        <v>21</v>
      </c>
      <c r="K68" s="6" t="s">
        <v>22</v>
      </c>
      <c r="L68" s="3"/>
      <c r="M68" s="4" t="s">
        <v>23</v>
      </c>
    </row>
    <row r="69" customFormat="false" ht="15" hidden="false" customHeight="false" outlineLevel="0" collapsed="false">
      <c r="A69" s="7" t="s">
        <v>259</v>
      </c>
      <c r="B69" s="7" t="s">
        <v>91</v>
      </c>
      <c r="C69" s="8" t="s">
        <v>25</v>
      </c>
      <c r="D69" s="7" t="s">
        <v>260</v>
      </c>
      <c r="E69" s="7" t="s">
        <v>261</v>
      </c>
      <c r="F69" s="7" t="s">
        <v>94</v>
      </c>
      <c r="G69" s="9"/>
      <c r="H69" s="7" t="s">
        <v>100</v>
      </c>
      <c r="I69" s="7" t="s">
        <v>258</v>
      </c>
      <c r="J69" s="8" t="s">
        <v>21</v>
      </c>
      <c r="K69" s="6" t="s">
        <v>22</v>
      </c>
      <c r="L69" s="7"/>
      <c r="M69" s="8" t="s">
        <v>23</v>
      </c>
    </row>
    <row r="70" customFormat="false" ht="15" hidden="false" customHeight="false" outlineLevel="0" collapsed="false">
      <c r="A70" s="3" t="s">
        <v>262</v>
      </c>
      <c r="B70" s="3" t="s">
        <v>91</v>
      </c>
      <c r="C70" s="4" t="s">
        <v>31</v>
      </c>
      <c r="D70" s="3" t="s">
        <v>263</v>
      </c>
      <c r="E70" s="3" t="s">
        <v>264</v>
      </c>
      <c r="F70" s="3" t="s">
        <v>94</v>
      </c>
      <c r="G70" s="5"/>
      <c r="H70" s="3" t="s">
        <v>104</v>
      </c>
      <c r="I70" s="3" t="s">
        <v>258</v>
      </c>
      <c r="J70" s="4" t="s">
        <v>21</v>
      </c>
      <c r="K70" s="6" t="s">
        <v>22</v>
      </c>
      <c r="L70" s="3"/>
      <c r="M70" s="4" t="s">
        <v>23</v>
      </c>
    </row>
    <row r="71" customFormat="false" ht="15" hidden="false" customHeight="false" outlineLevel="0" collapsed="false">
      <c r="A71" s="7" t="s">
        <v>265</v>
      </c>
      <c r="B71" s="7" t="s">
        <v>91</v>
      </c>
      <c r="C71" s="8" t="s">
        <v>15</v>
      </c>
      <c r="D71" s="7" t="s">
        <v>266</v>
      </c>
      <c r="E71" s="7" t="s">
        <v>267</v>
      </c>
      <c r="F71" s="7" t="s">
        <v>94</v>
      </c>
      <c r="G71" s="9"/>
      <c r="H71" s="7" t="s">
        <v>95</v>
      </c>
      <c r="I71" s="7" t="s">
        <v>268</v>
      </c>
      <c r="J71" s="8" t="s">
        <v>21</v>
      </c>
      <c r="K71" s="6" t="s">
        <v>22</v>
      </c>
      <c r="L71" s="7"/>
      <c r="M71" s="8" t="s">
        <v>23</v>
      </c>
    </row>
    <row r="72" customFormat="false" ht="15" hidden="false" customHeight="false" outlineLevel="0" collapsed="false">
      <c r="A72" s="3" t="s">
        <v>269</v>
      </c>
      <c r="B72" s="3" t="s">
        <v>91</v>
      </c>
      <c r="C72" s="4" t="s">
        <v>25</v>
      </c>
      <c r="D72" s="3" t="s">
        <v>270</v>
      </c>
      <c r="E72" s="3" t="s">
        <v>271</v>
      </c>
      <c r="F72" s="3" t="s">
        <v>94</v>
      </c>
      <c r="G72" s="5"/>
      <c r="H72" s="3" t="s">
        <v>100</v>
      </c>
      <c r="I72" s="3" t="s">
        <v>268</v>
      </c>
      <c r="J72" s="4" t="s">
        <v>21</v>
      </c>
      <c r="K72" s="6" t="s">
        <v>22</v>
      </c>
      <c r="L72" s="3"/>
      <c r="M72" s="4" t="s">
        <v>23</v>
      </c>
    </row>
    <row r="73" customFormat="false" ht="15" hidden="false" customHeight="false" outlineLevel="0" collapsed="false">
      <c r="A73" s="7" t="s">
        <v>272</v>
      </c>
      <c r="B73" s="7" t="s">
        <v>91</v>
      </c>
      <c r="C73" s="8" t="s">
        <v>31</v>
      </c>
      <c r="D73" s="7" t="s">
        <v>273</v>
      </c>
      <c r="E73" s="7" t="s">
        <v>274</v>
      </c>
      <c r="F73" s="7" t="s">
        <v>94</v>
      </c>
      <c r="G73" s="9"/>
      <c r="H73" s="7" t="s">
        <v>104</v>
      </c>
      <c r="I73" s="7" t="s">
        <v>268</v>
      </c>
      <c r="J73" s="8" t="s">
        <v>21</v>
      </c>
      <c r="K73" s="6" t="s">
        <v>22</v>
      </c>
      <c r="L73" s="7"/>
      <c r="M73" s="8" t="s">
        <v>23</v>
      </c>
    </row>
    <row r="74" customFormat="false" ht="15" hidden="false" customHeight="false" outlineLevel="0" collapsed="false">
      <c r="A74" s="3" t="s">
        <v>275</v>
      </c>
      <c r="B74" s="3" t="s">
        <v>91</v>
      </c>
      <c r="C74" s="4" t="s">
        <v>15</v>
      </c>
      <c r="D74" s="3" t="s">
        <v>276</v>
      </c>
      <c r="E74" s="3" t="s">
        <v>277</v>
      </c>
      <c r="F74" s="3" t="s">
        <v>94</v>
      </c>
      <c r="G74" s="5"/>
      <c r="H74" s="3" t="s">
        <v>278</v>
      </c>
      <c r="I74" s="3" t="s">
        <v>279</v>
      </c>
      <c r="J74" s="4" t="s">
        <v>21</v>
      </c>
      <c r="K74" s="6" t="s">
        <v>22</v>
      </c>
      <c r="L74" s="3"/>
      <c r="M74" s="4" t="s">
        <v>23</v>
      </c>
    </row>
    <row r="75" customFormat="false" ht="15" hidden="false" customHeight="false" outlineLevel="0" collapsed="false">
      <c r="A75" s="7" t="s">
        <v>280</v>
      </c>
      <c r="B75" s="7" t="s">
        <v>91</v>
      </c>
      <c r="C75" s="8" t="s">
        <v>25</v>
      </c>
      <c r="D75" s="7" t="s">
        <v>281</v>
      </c>
      <c r="E75" s="7" t="s">
        <v>282</v>
      </c>
      <c r="F75" s="7" t="s">
        <v>94</v>
      </c>
      <c r="G75" s="9"/>
      <c r="H75" s="7" t="s">
        <v>283</v>
      </c>
      <c r="I75" s="7" t="s">
        <v>279</v>
      </c>
      <c r="J75" s="8" t="s">
        <v>21</v>
      </c>
      <c r="K75" s="6" t="s">
        <v>22</v>
      </c>
      <c r="L75" s="7"/>
      <c r="M75" s="8" t="s">
        <v>23</v>
      </c>
    </row>
    <row r="76" customFormat="false" ht="15" hidden="false" customHeight="false" outlineLevel="0" collapsed="false">
      <c r="A76" s="3" t="s">
        <v>284</v>
      </c>
      <c r="B76" s="3" t="s">
        <v>91</v>
      </c>
      <c r="C76" s="4" t="s">
        <v>31</v>
      </c>
      <c r="D76" s="3" t="s">
        <v>285</v>
      </c>
      <c r="E76" s="3" t="s">
        <v>286</v>
      </c>
      <c r="F76" s="3" t="s">
        <v>94</v>
      </c>
      <c r="G76" s="5"/>
      <c r="H76" s="3" t="s">
        <v>287</v>
      </c>
      <c r="I76" s="3" t="s">
        <v>279</v>
      </c>
      <c r="J76" s="4" t="s">
        <v>21</v>
      </c>
      <c r="K76" s="6" t="s">
        <v>22</v>
      </c>
      <c r="L76" s="3"/>
      <c r="M76" s="4" t="s">
        <v>23</v>
      </c>
    </row>
    <row r="77" customFormat="false" ht="15" hidden="false" customHeight="false" outlineLevel="0" collapsed="false">
      <c r="A77" s="7" t="s">
        <v>288</v>
      </c>
      <c r="B77" s="7" t="s">
        <v>91</v>
      </c>
      <c r="C77" s="8" t="s">
        <v>15</v>
      </c>
      <c r="D77" s="7" t="s">
        <v>289</v>
      </c>
      <c r="E77" s="7" t="s">
        <v>290</v>
      </c>
      <c r="F77" s="7" t="s">
        <v>94</v>
      </c>
      <c r="G77" s="9"/>
      <c r="H77" s="7" t="s">
        <v>278</v>
      </c>
      <c r="I77" s="7" t="s">
        <v>291</v>
      </c>
      <c r="J77" s="8" t="s">
        <v>21</v>
      </c>
      <c r="K77" s="6" t="s">
        <v>22</v>
      </c>
      <c r="L77" s="7"/>
      <c r="M77" s="8" t="s">
        <v>23</v>
      </c>
    </row>
    <row r="78" customFormat="false" ht="15" hidden="false" customHeight="false" outlineLevel="0" collapsed="false">
      <c r="A78" s="3" t="s">
        <v>292</v>
      </c>
      <c r="B78" s="3" t="s">
        <v>91</v>
      </c>
      <c r="C78" s="4" t="s">
        <v>25</v>
      </c>
      <c r="D78" s="3" t="s">
        <v>293</v>
      </c>
      <c r="E78" s="3" t="s">
        <v>294</v>
      </c>
      <c r="F78" s="3" t="s">
        <v>94</v>
      </c>
      <c r="G78" s="5"/>
      <c r="H78" s="3" t="s">
        <v>283</v>
      </c>
      <c r="I78" s="3" t="s">
        <v>291</v>
      </c>
      <c r="J78" s="4" t="s">
        <v>21</v>
      </c>
      <c r="K78" s="6" t="s">
        <v>22</v>
      </c>
      <c r="L78" s="3"/>
      <c r="M78" s="4" t="s">
        <v>23</v>
      </c>
    </row>
    <row r="79" customFormat="false" ht="15" hidden="false" customHeight="false" outlineLevel="0" collapsed="false">
      <c r="A79" s="7" t="s">
        <v>295</v>
      </c>
      <c r="B79" s="7" t="s">
        <v>91</v>
      </c>
      <c r="C79" s="8" t="s">
        <v>31</v>
      </c>
      <c r="D79" s="7" t="s">
        <v>296</v>
      </c>
      <c r="E79" s="7" t="s">
        <v>297</v>
      </c>
      <c r="F79" s="7" t="s">
        <v>94</v>
      </c>
      <c r="G79" s="9"/>
      <c r="H79" s="7" t="s">
        <v>287</v>
      </c>
      <c r="I79" s="7" t="s">
        <v>291</v>
      </c>
      <c r="J79" s="8" t="s">
        <v>21</v>
      </c>
      <c r="K79" s="6" t="s">
        <v>22</v>
      </c>
      <c r="L79" s="7"/>
      <c r="M79" s="8" t="s">
        <v>23</v>
      </c>
    </row>
    <row r="80" customFormat="false" ht="15" hidden="false" customHeight="false" outlineLevel="0" collapsed="false">
      <c r="A80" s="3" t="s">
        <v>298</v>
      </c>
      <c r="B80" s="3" t="s">
        <v>299</v>
      </c>
      <c r="C80" s="4" t="s">
        <v>15</v>
      </c>
      <c r="D80" s="3" t="s">
        <v>300</v>
      </c>
      <c r="E80" s="3" t="s">
        <v>301</v>
      </c>
      <c r="F80" s="3" t="s">
        <v>18</v>
      </c>
      <c r="G80" s="5"/>
      <c r="H80" s="3" t="s">
        <v>19</v>
      </c>
      <c r="I80" s="3" t="s">
        <v>302</v>
      </c>
      <c r="J80" s="4" t="s">
        <v>21</v>
      </c>
      <c r="K80" s="6" t="s">
        <v>22</v>
      </c>
      <c r="L80" s="3"/>
      <c r="M80" s="4" t="s">
        <v>23</v>
      </c>
    </row>
    <row r="81" customFormat="false" ht="15" hidden="false" customHeight="false" outlineLevel="0" collapsed="false">
      <c r="A81" s="7" t="s">
        <v>303</v>
      </c>
      <c r="B81" s="7" t="s">
        <v>299</v>
      </c>
      <c r="C81" s="8" t="s">
        <v>25</v>
      </c>
      <c r="D81" s="7" t="s">
        <v>304</v>
      </c>
      <c r="E81" s="7" t="s">
        <v>305</v>
      </c>
      <c r="F81" s="7" t="s">
        <v>28</v>
      </c>
      <c r="G81" s="9"/>
      <c r="H81" s="7" t="s">
        <v>29</v>
      </c>
      <c r="I81" s="7" t="s">
        <v>302</v>
      </c>
      <c r="J81" s="8" t="s">
        <v>21</v>
      </c>
      <c r="K81" s="6" t="s">
        <v>22</v>
      </c>
      <c r="L81" s="7"/>
      <c r="M81" s="8" t="s">
        <v>23</v>
      </c>
    </row>
    <row r="82" customFormat="false" ht="15" hidden="false" customHeight="false" outlineLevel="0" collapsed="false">
      <c r="A82" s="3" t="s">
        <v>306</v>
      </c>
      <c r="B82" s="3" t="s">
        <v>299</v>
      </c>
      <c r="C82" s="4" t="s">
        <v>31</v>
      </c>
      <c r="D82" s="3" t="s">
        <v>307</v>
      </c>
      <c r="E82" s="3" t="s">
        <v>308</v>
      </c>
      <c r="F82" s="3" t="s">
        <v>34</v>
      </c>
      <c r="G82" s="5"/>
      <c r="H82" s="3" t="s">
        <v>35</v>
      </c>
      <c r="I82" s="3" t="s">
        <v>302</v>
      </c>
      <c r="J82" s="4" t="s">
        <v>21</v>
      </c>
      <c r="K82" s="6" t="s">
        <v>22</v>
      </c>
      <c r="L82" s="3"/>
      <c r="M82" s="4" t="s">
        <v>23</v>
      </c>
    </row>
    <row r="83" customFormat="false" ht="15" hidden="false" customHeight="false" outlineLevel="0" collapsed="false">
      <c r="A83" s="7" t="s">
        <v>309</v>
      </c>
      <c r="B83" s="7" t="s">
        <v>299</v>
      </c>
      <c r="C83" s="8" t="s">
        <v>15</v>
      </c>
      <c r="D83" s="7" t="s">
        <v>310</v>
      </c>
      <c r="E83" s="7" t="s">
        <v>311</v>
      </c>
      <c r="F83" s="7" t="s">
        <v>18</v>
      </c>
      <c r="G83" s="9"/>
      <c r="H83" s="7" t="s">
        <v>19</v>
      </c>
      <c r="I83" s="7" t="s">
        <v>312</v>
      </c>
      <c r="J83" s="8" t="s">
        <v>21</v>
      </c>
      <c r="K83" s="6" t="s">
        <v>22</v>
      </c>
      <c r="L83" s="7"/>
      <c r="M83" s="8" t="s">
        <v>23</v>
      </c>
    </row>
    <row r="84" customFormat="false" ht="15" hidden="false" customHeight="false" outlineLevel="0" collapsed="false">
      <c r="A84" s="3" t="s">
        <v>313</v>
      </c>
      <c r="B84" s="3" t="s">
        <v>299</v>
      </c>
      <c r="C84" s="4" t="s">
        <v>25</v>
      </c>
      <c r="D84" s="3" t="s">
        <v>314</v>
      </c>
      <c r="E84" s="3" t="s">
        <v>315</v>
      </c>
      <c r="F84" s="3" t="s">
        <v>28</v>
      </c>
      <c r="G84" s="5"/>
      <c r="H84" s="3" t="s">
        <v>29</v>
      </c>
      <c r="I84" s="3" t="s">
        <v>312</v>
      </c>
      <c r="J84" s="4" t="s">
        <v>21</v>
      </c>
      <c r="K84" s="6" t="s">
        <v>22</v>
      </c>
      <c r="L84" s="3"/>
      <c r="M84" s="4" t="s">
        <v>23</v>
      </c>
    </row>
    <row r="85" customFormat="false" ht="15" hidden="false" customHeight="false" outlineLevel="0" collapsed="false">
      <c r="A85" s="7" t="s">
        <v>316</v>
      </c>
      <c r="B85" s="7" t="s">
        <v>299</v>
      </c>
      <c r="C85" s="8" t="s">
        <v>31</v>
      </c>
      <c r="D85" s="7" t="s">
        <v>317</v>
      </c>
      <c r="E85" s="7" t="s">
        <v>318</v>
      </c>
      <c r="F85" s="7" t="s">
        <v>34</v>
      </c>
      <c r="G85" s="9"/>
      <c r="H85" s="7" t="s">
        <v>35</v>
      </c>
      <c r="I85" s="7" t="s">
        <v>312</v>
      </c>
      <c r="J85" s="8" t="s">
        <v>21</v>
      </c>
      <c r="K85" s="6" t="s">
        <v>22</v>
      </c>
      <c r="L85" s="7"/>
      <c r="M85" s="8" t="s">
        <v>23</v>
      </c>
    </row>
    <row r="86" customFormat="false" ht="15" hidden="false" customHeight="false" outlineLevel="0" collapsed="false">
      <c r="A86" s="3" t="s">
        <v>319</v>
      </c>
      <c r="B86" s="3" t="s">
        <v>299</v>
      </c>
      <c r="C86" s="4" t="s">
        <v>15</v>
      </c>
      <c r="D86" s="3" t="s">
        <v>320</v>
      </c>
      <c r="E86" s="3" t="s">
        <v>321</v>
      </c>
      <c r="F86" s="3" t="s">
        <v>18</v>
      </c>
      <c r="G86" s="5"/>
      <c r="H86" s="3" t="s">
        <v>19</v>
      </c>
      <c r="I86" s="3" t="s">
        <v>322</v>
      </c>
      <c r="J86" s="4" t="s">
        <v>21</v>
      </c>
      <c r="K86" s="6" t="s">
        <v>22</v>
      </c>
      <c r="L86" s="3"/>
      <c r="M86" s="4" t="s">
        <v>23</v>
      </c>
    </row>
    <row r="87" customFormat="false" ht="15" hidden="false" customHeight="false" outlineLevel="0" collapsed="false">
      <c r="A87" s="7" t="s">
        <v>323</v>
      </c>
      <c r="B87" s="7" t="s">
        <v>299</v>
      </c>
      <c r="C87" s="8" t="s">
        <v>25</v>
      </c>
      <c r="D87" s="7" t="s">
        <v>324</v>
      </c>
      <c r="E87" s="7" t="s">
        <v>325</v>
      </c>
      <c r="F87" s="7" t="s">
        <v>28</v>
      </c>
      <c r="G87" s="9"/>
      <c r="H87" s="7" t="s">
        <v>29</v>
      </c>
      <c r="I87" s="7" t="s">
        <v>322</v>
      </c>
      <c r="J87" s="8" t="s">
        <v>21</v>
      </c>
      <c r="K87" s="6" t="s">
        <v>22</v>
      </c>
      <c r="L87" s="7"/>
      <c r="M87" s="8" t="s">
        <v>23</v>
      </c>
    </row>
    <row r="88" customFormat="false" ht="15" hidden="false" customHeight="false" outlineLevel="0" collapsed="false">
      <c r="A88" s="3" t="s">
        <v>326</v>
      </c>
      <c r="B88" s="3" t="s">
        <v>299</v>
      </c>
      <c r="C88" s="4" t="s">
        <v>31</v>
      </c>
      <c r="D88" s="3" t="s">
        <v>327</v>
      </c>
      <c r="E88" s="3" t="s">
        <v>328</v>
      </c>
      <c r="F88" s="3" t="s">
        <v>34</v>
      </c>
      <c r="G88" s="5"/>
      <c r="H88" s="3" t="s">
        <v>35</v>
      </c>
      <c r="I88" s="3" t="s">
        <v>322</v>
      </c>
      <c r="J88" s="4" t="s">
        <v>21</v>
      </c>
      <c r="K88" s="6" t="s">
        <v>22</v>
      </c>
      <c r="L88" s="3"/>
      <c r="M88" s="4" t="s">
        <v>23</v>
      </c>
    </row>
    <row r="89" customFormat="false" ht="15" hidden="false" customHeight="false" outlineLevel="0" collapsed="false">
      <c r="A89" s="7" t="s">
        <v>329</v>
      </c>
      <c r="B89" s="7" t="s">
        <v>299</v>
      </c>
      <c r="C89" s="8" t="s">
        <v>15</v>
      </c>
      <c r="D89" s="7" t="s">
        <v>330</v>
      </c>
      <c r="E89" s="7" t="s">
        <v>331</v>
      </c>
      <c r="F89" s="7" t="s">
        <v>18</v>
      </c>
      <c r="G89" s="9"/>
      <c r="H89" s="7" t="s">
        <v>19</v>
      </c>
      <c r="I89" s="7" t="s">
        <v>332</v>
      </c>
      <c r="J89" s="8" t="s">
        <v>21</v>
      </c>
      <c r="K89" s="6" t="s">
        <v>22</v>
      </c>
      <c r="L89" s="7"/>
      <c r="M89" s="8" t="s">
        <v>23</v>
      </c>
    </row>
    <row r="90" customFormat="false" ht="15" hidden="false" customHeight="false" outlineLevel="0" collapsed="false">
      <c r="A90" s="3" t="s">
        <v>333</v>
      </c>
      <c r="B90" s="3" t="s">
        <v>299</v>
      </c>
      <c r="C90" s="4" t="s">
        <v>25</v>
      </c>
      <c r="D90" s="3" t="s">
        <v>334</v>
      </c>
      <c r="E90" s="3" t="s">
        <v>335</v>
      </c>
      <c r="F90" s="3" t="s">
        <v>28</v>
      </c>
      <c r="G90" s="5"/>
      <c r="H90" s="3" t="s">
        <v>29</v>
      </c>
      <c r="I90" s="3" t="s">
        <v>332</v>
      </c>
      <c r="J90" s="4" t="s">
        <v>21</v>
      </c>
      <c r="K90" s="6" t="s">
        <v>22</v>
      </c>
      <c r="L90" s="3"/>
      <c r="M90" s="4" t="s">
        <v>23</v>
      </c>
    </row>
    <row r="91" customFormat="false" ht="15" hidden="false" customHeight="false" outlineLevel="0" collapsed="false">
      <c r="A91" s="7" t="s">
        <v>336</v>
      </c>
      <c r="B91" s="7" t="s">
        <v>299</v>
      </c>
      <c r="C91" s="8" t="s">
        <v>31</v>
      </c>
      <c r="D91" s="7" t="s">
        <v>337</v>
      </c>
      <c r="E91" s="7" t="s">
        <v>338</v>
      </c>
      <c r="F91" s="7" t="s">
        <v>34</v>
      </c>
      <c r="G91" s="9"/>
      <c r="H91" s="7" t="s">
        <v>35</v>
      </c>
      <c r="I91" s="7" t="s">
        <v>332</v>
      </c>
      <c r="J91" s="8" t="s">
        <v>21</v>
      </c>
      <c r="K91" s="6" t="s">
        <v>22</v>
      </c>
      <c r="L91" s="7"/>
      <c r="M91" s="8" t="s">
        <v>23</v>
      </c>
    </row>
    <row r="92" customFormat="false" ht="15" hidden="false" customHeight="false" outlineLevel="0" collapsed="false">
      <c r="A92" s="3" t="s">
        <v>339</v>
      </c>
      <c r="B92" s="3" t="s">
        <v>299</v>
      </c>
      <c r="C92" s="4" t="s">
        <v>15</v>
      </c>
      <c r="D92" s="3" t="s">
        <v>340</v>
      </c>
      <c r="E92" s="3" t="s">
        <v>341</v>
      </c>
      <c r="F92" s="3" t="s">
        <v>94</v>
      </c>
      <c r="G92" s="5"/>
      <c r="H92" s="3" t="s">
        <v>278</v>
      </c>
      <c r="I92" s="3" t="s">
        <v>342</v>
      </c>
      <c r="J92" s="4" t="s">
        <v>21</v>
      </c>
      <c r="K92" s="12" t="s">
        <v>343</v>
      </c>
      <c r="L92" s="3"/>
      <c r="M92" s="4" t="s">
        <v>23</v>
      </c>
    </row>
    <row r="93" customFormat="false" ht="15" hidden="false" customHeight="false" outlineLevel="0" collapsed="false">
      <c r="A93" s="7" t="s">
        <v>344</v>
      </c>
      <c r="B93" s="7" t="s">
        <v>299</v>
      </c>
      <c r="C93" s="8" t="s">
        <v>25</v>
      </c>
      <c r="D93" s="7" t="s">
        <v>345</v>
      </c>
      <c r="E93" s="7" t="s">
        <v>346</v>
      </c>
      <c r="F93" s="7" t="s">
        <v>94</v>
      </c>
      <c r="G93" s="9"/>
      <c r="H93" s="7" t="s">
        <v>283</v>
      </c>
      <c r="I93" s="7" t="s">
        <v>342</v>
      </c>
      <c r="J93" s="8" t="s">
        <v>21</v>
      </c>
      <c r="K93" s="12" t="s">
        <v>343</v>
      </c>
      <c r="L93" s="7"/>
      <c r="M93" s="8" t="s">
        <v>23</v>
      </c>
    </row>
    <row r="94" customFormat="false" ht="15" hidden="false" customHeight="false" outlineLevel="0" collapsed="false">
      <c r="A94" s="3" t="s">
        <v>347</v>
      </c>
      <c r="B94" s="3" t="s">
        <v>299</v>
      </c>
      <c r="C94" s="4" t="s">
        <v>31</v>
      </c>
      <c r="D94" s="3" t="s">
        <v>348</v>
      </c>
      <c r="E94" s="3" t="s">
        <v>349</v>
      </c>
      <c r="F94" s="3" t="s">
        <v>94</v>
      </c>
      <c r="G94" s="5"/>
      <c r="H94" s="3" t="s">
        <v>287</v>
      </c>
      <c r="I94" s="3" t="s">
        <v>342</v>
      </c>
      <c r="J94" s="4" t="s">
        <v>21</v>
      </c>
      <c r="K94" s="12" t="s">
        <v>343</v>
      </c>
      <c r="L94" s="3"/>
      <c r="M94" s="4" t="s">
        <v>23</v>
      </c>
    </row>
    <row r="95" customFormat="false" ht="15" hidden="false" customHeight="false" outlineLevel="0" collapsed="false">
      <c r="A95" s="7" t="s">
        <v>350</v>
      </c>
      <c r="B95" s="7" t="s">
        <v>299</v>
      </c>
      <c r="C95" s="8" t="s">
        <v>15</v>
      </c>
      <c r="D95" s="7" t="s">
        <v>351</v>
      </c>
      <c r="E95" s="7" t="s">
        <v>352</v>
      </c>
      <c r="F95" s="7" t="s">
        <v>94</v>
      </c>
      <c r="G95" s="9"/>
      <c r="H95" s="7" t="s">
        <v>278</v>
      </c>
      <c r="I95" s="7" t="s">
        <v>353</v>
      </c>
      <c r="J95" s="8" t="s">
        <v>21</v>
      </c>
      <c r="K95" s="12" t="s">
        <v>343</v>
      </c>
      <c r="L95" s="7"/>
      <c r="M95" s="8" t="s">
        <v>23</v>
      </c>
    </row>
    <row r="96" customFormat="false" ht="15" hidden="false" customHeight="false" outlineLevel="0" collapsed="false">
      <c r="A96" s="3" t="s">
        <v>354</v>
      </c>
      <c r="B96" s="3" t="s">
        <v>299</v>
      </c>
      <c r="C96" s="4" t="s">
        <v>25</v>
      </c>
      <c r="D96" s="3" t="s">
        <v>355</v>
      </c>
      <c r="E96" s="3" t="s">
        <v>356</v>
      </c>
      <c r="F96" s="3" t="s">
        <v>94</v>
      </c>
      <c r="G96" s="5"/>
      <c r="H96" s="3" t="s">
        <v>283</v>
      </c>
      <c r="I96" s="3" t="s">
        <v>353</v>
      </c>
      <c r="J96" s="4" t="s">
        <v>21</v>
      </c>
      <c r="K96" s="12" t="s">
        <v>343</v>
      </c>
      <c r="L96" s="3"/>
      <c r="M96" s="4" t="s">
        <v>23</v>
      </c>
    </row>
    <row r="97" customFormat="false" ht="15" hidden="false" customHeight="false" outlineLevel="0" collapsed="false">
      <c r="A97" s="7" t="s">
        <v>357</v>
      </c>
      <c r="B97" s="7" t="s">
        <v>299</v>
      </c>
      <c r="C97" s="8" t="s">
        <v>31</v>
      </c>
      <c r="D97" s="7" t="s">
        <v>358</v>
      </c>
      <c r="E97" s="7" t="s">
        <v>359</v>
      </c>
      <c r="F97" s="7" t="s">
        <v>94</v>
      </c>
      <c r="G97" s="9"/>
      <c r="H97" s="7" t="s">
        <v>287</v>
      </c>
      <c r="I97" s="7" t="s">
        <v>353</v>
      </c>
      <c r="J97" s="8" t="s">
        <v>21</v>
      </c>
      <c r="K97" s="12" t="s">
        <v>343</v>
      </c>
      <c r="L97" s="7"/>
      <c r="M97" s="8" t="s">
        <v>23</v>
      </c>
    </row>
    <row r="98" customFormat="false" ht="15" hidden="false" customHeight="false" outlineLevel="0" collapsed="false">
      <c r="A98" s="3" t="s">
        <v>360</v>
      </c>
      <c r="B98" s="3" t="s">
        <v>361</v>
      </c>
      <c r="C98" s="4" t="s">
        <v>15</v>
      </c>
      <c r="D98" s="3" t="s">
        <v>362</v>
      </c>
      <c r="E98" s="3" t="s">
        <v>363</v>
      </c>
      <c r="F98" s="3" t="s">
        <v>364</v>
      </c>
      <c r="G98" s="5"/>
      <c r="H98" s="3" t="s">
        <v>95</v>
      </c>
      <c r="I98" s="3" t="s">
        <v>365</v>
      </c>
      <c r="J98" s="4" t="s">
        <v>21</v>
      </c>
      <c r="K98" s="6" t="s">
        <v>22</v>
      </c>
      <c r="L98" s="3"/>
      <c r="M98" s="4" t="s">
        <v>23</v>
      </c>
    </row>
    <row r="99" customFormat="false" ht="15" hidden="false" customHeight="false" outlineLevel="0" collapsed="false">
      <c r="A99" s="7" t="s">
        <v>366</v>
      </c>
      <c r="B99" s="7" t="s">
        <v>361</v>
      </c>
      <c r="C99" s="8" t="s">
        <v>25</v>
      </c>
      <c r="D99" s="7" t="s">
        <v>367</v>
      </c>
      <c r="E99" s="7" t="s">
        <v>368</v>
      </c>
      <c r="F99" s="7" t="s">
        <v>364</v>
      </c>
      <c r="G99" s="9"/>
      <c r="H99" s="7" t="s">
        <v>100</v>
      </c>
      <c r="I99" s="7" t="s">
        <v>365</v>
      </c>
      <c r="J99" s="8" t="s">
        <v>21</v>
      </c>
      <c r="K99" s="6" t="s">
        <v>22</v>
      </c>
      <c r="L99" s="7"/>
      <c r="M99" s="8" t="s">
        <v>23</v>
      </c>
    </row>
    <row r="100" customFormat="false" ht="15" hidden="false" customHeight="false" outlineLevel="0" collapsed="false">
      <c r="A100" s="3" t="s">
        <v>369</v>
      </c>
      <c r="B100" s="3" t="s">
        <v>361</v>
      </c>
      <c r="C100" s="4" t="s">
        <v>31</v>
      </c>
      <c r="D100" s="3" t="s">
        <v>370</v>
      </c>
      <c r="E100" s="3" t="s">
        <v>371</v>
      </c>
      <c r="F100" s="3" t="s">
        <v>364</v>
      </c>
      <c r="G100" s="5"/>
      <c r="H100" s="3" t="s">
        <v>104</v>
      </c>
      <c r="I100" s="3" t="s">
        <v>365</v>
      </c>
      <c r="J100" s="4" t="s">
        <v>21</v>
      </c>
      <c r="K100" s="6" t="s">
        <v>22</v>
      </c>
      <c r="L100" s="3"/>
      <c r="M100" s="4" t="s">
        <v>23</v>
      </c>
    </row>
    <row r="101" customFormat="false" ht="15" hidden="false" customHeight="false" outlineLevel="0" collapsed="false">
      <c r="A101" s="7" t="s">
        <v>372</v>
      </c>
      <c r="B101" s="7" t="s">
        <v>361</v>
      </c>
      <c r="C101" s="8" t="s">
        <v>15</v>
      </c>
      <c r="D101" s="7" t="s">
        <v>373</v>
      </c>
      <c r="E101" s="7" t="s">
        <v>374</v>
      </c>
      <c r="F101" s="7" t="s">
        <v>364</v>
      </c>
      <c r="G101" s="9"/>
      <c r="H101" s="7" t="s">
        <v>95</v>
      </c>
      <c r="I101" s="7" t="s">
        <v>375</v>
      </c>
      <c r="J101" s="8" t="s">
        <v>21</v>
      </c>
      <c r="K101" s="6" t="s">
        <v>22</v>
      </c>
      <c r="L101" s="7"/>
      <c r="M101" s="8" t="s">
        <v>23</v>
      </c>
    </row>
    <row r="102" customFormat="false" ht="15" hidden="false" customHeight="false" outlineLevel="0" collapsed="false">
      <c r="A102" s="3" t="s">
        <v>376</v>
      </c>
      <c r="B102" s="3" t="s">
        <v>361</v>
      </c>
      <c r="C102" s="4" t="s">
        <v>25</v>
      </c>
      <c r="D102" s="3" t="s">
        <v>377</v>
      </c>
      <c r="E102" s="3" t="s">
        <v>378</v>
      </c>
      <c r="F102" s="3" t="s">
        <v>364</v>
      </c>
      <c r="G102" s="5"/>
      <c r="H102" s="3" t="s">
        <v>100</v>
      </c>
      <c r="I102" s="3" t="s">
        <v>375</v>
      </c>
      <c r="J102" s="4" t="s">
        <v>21</v>
      </c>
      <c r="K102" s="6" t="s">
        <v>22</v>
      </c>
      <c r="L102" s="3"/>
      <c r="M102" s="4" t="s">
        <v>23</v>
      </c>
    </row>
    <row r="103" customFormat="false" ht="15" hidden="false" customHeight="false" outlineLevel="0" collapsed="false">
      <c r="A103" s="7" t="s">
        <v>379</v>
      </c>
      <c r="B103" s="7" t="s">
        <v>361</v>
      </c>
      <c r="C103" s="8" t="s">
        <v>31</v>
      </c>
      <c r="D103" s="7" t="s">
        <v>380</v>
      </c>
      <c r="E103" s="7" t="s">
        <v>381</v>
      </c>
      <c r="F103" s="7" t="s">
        <v>364</v>
      </c>
      <c r="G103" s="9"/>
      <c r="H103" s="7" t="s">
        <v>104</v>
      </c>
      <c r="I103" s="7" t="s">
        <v>375</v>
      </c>
      <c r="J103" s="8" t="s">
        <v>21</v>
      </c>
      <c r="K103" s="6" t="s">
        <v>22</v>
      </c>
      <c r="L103" s="7"/>
      <c r="M103" s="8" t="s">
        <v>23</v>
      </c>
    </row>
    <row r="104" customFormat="false" ht="15" hidden="false" customHeight="false" outlineLevel="0" collapsed="false">
      <c r="A104" s="3" t="s">
        <v>382</v>
      </c>
      <c r="B104" s="3" t="s">
        <v>361</v>
      </c>
      <c r="C104" s="4" t="s">
        <v>15</v>
      </c>
      <c r="D104" s="3" t="s">
        <v>383</v>
      </c>
      <c r="E104" s="3" t="s">
        <v>384</v>
      </c>
      <c r="F104" s="3" t="s">
        <v>364</v>
      </c>
      <c r="G104" s="5"/>
      <c r="H104" s="3" t="s">
        <v>95</v>
      </c>
      <c r="I104" s="3" t="s">
        <v>385</v>
      </c>
      <c r="J104" s="4" t="s">
        <v>21</v>
      </c>
      <c r="K104" s="6" t="s">
        <v>22</v>
      </c>
      <c r="L104" s="3"/>
      <c r="M104" s="4" t="s">
        <v>23</v>
      </c>
    </row>
    <row r="105" customFormat="false" ht="15" hidden="false" customHeight="false" outlineLevel="0" collapsed="false">
      <c r="A105" s="7" t="s">
        <v>386</v>
      </c>
      <c r="B105" s="7" t="s">
        <v>361</v>
      </c>
      <c r="C105" s="8" t="s">
        <v>25</v>
      </c>
      <c r="D105" s="7" t="s">
        <v>387</v>
      </c>
      <c r="E105" s="7" t="s">
        <v>388</v>
      </c>
      <c r="F105" s="7" t="s">
        <v>364</v>
      </c>
      <c r="G105" s="9"/>
      <c r="H105" s="7" t="s">
        <v>100</v>
      </c>
      <c r="I105" s="7" t="s">
        <v>385</v>
      </c>
      <c r="J105" s="8" t="s">
        <v>21</v>
      </c>
      <c r="K105" s="6" t="s">
        <v>22</v>
      </c>
      <c r="L105" s="7"/>
      <c r="M105" s="8" t="s">
        <v>23</v>
      </c>
    </row>
    <row r="106" customFormat="false" ht="15" hidden="false" customHeight="false" outlineLevel="0" collapsed="false">
      <c r="A106" s="3" t="s">
        <v>389</v>
      </c>
      <c r="B106" s="3" t="s">
        <v>361</v>
      </c>
      <c r="C106" s="4" t="s">
        <v>31</v>
      </c>
      <c r="D106" s="3" t="s">
        <v>390</v>
      </c>
      <c r="E106" s="3" t="s">
        <v>391</v>
      </c>
      <c r="F106" s="3" t="s">
        <v>364</v>
      </c>
      <c r="G106" s="5"/>
      <c r="H106" s="3" t="s">
        <v>104</v>
      </c>
      <c r="I106" s="3" t="s">
        <v>385</v>
      </c>
      <c r="J106" s="4" t="s">
        <v>21</v>
      </c>
      <c r="K106" s="6" t="s">
        <v>22</v>
      </c>
      <c r="L106" s="3"/>
      <c r="M106" s="4" t="s">
        <v>23</v>
      </c>
    </row>
    <row r="107" customFormat="false" ht="15" hidden="false" customHeight="false" outlineLevel="0" collapsed="false">
      <c r="A107" s="7" t="s">
        <v>392</v>
      </c>
      <c r="B107" s="7" t="s">
        <v>361</v>
      </c>
      <c r="C107" s="8" t="s">
        <v>15</v>
      </c>
      <c r="D107" s="7" t="s">
        <v>393</v>
      </c>
      <c r="E107" s="7" t="s">
        <v>394</v>
      </c>
      <c r="F107" s="7" t="s">
        <v>364</v>
      </c>
      <c r="G107" s="9"/>
      <c r="H107" s="7" t="s">
        <v>95</v>
      </c>
      <c r="I107" s="7" t="s">
        <v>395</v>
      </c>
      <c r="J107" s="8" t="s">
        <v>21</v>
      </c>
      <c r="K107" s="6" t="s">
        <v>22</v>
      </c>
      <c r="L107" s="7"/>
      <c r="M107" s="8" t="s">
        <v>23</v>
      </c>
    </row>
    <row r="108" customFormat="false" ht="15" hidden="false" customHeight="false" outlineLevel="0" collapsed="false">
      <c r="A108" s="3" t="s">
        <v>396</v>
      </c>
      <c r="B108" s="3" t="s">
        <v>361</v>
      </c>
      <c r="C108" s="4" t="s">
        <v>25</v>
      </c>
      <c r="D108" s="3" t="s">
        <v>397</v>
      </c>
      <c r="E108" s="3" t="s">
        <v>398</v>
      </c>
      <c r="F108" s="3" t="s">
        <v>364</v>
      </c>
      <c r="G108" s="5"/>
      <c r="H108" s="3" t="s">
        <v>100</v>
      </c>
      <c r="I108" s="3" t="s">
        <v>395</v>
      </c>
      <c r="J108" s="4" t="s">
        <v>21</v>
      </c>
      <c r="K108" s="6" t="s">
        <v>22</v>
      </c>
      <c r="L108" s="3"/>
      <c r="M108" s="4" t="s">
        <v>23</v>
      </c>
    </row>
    <row r="109" customFormat="false" ht="15" hidden="false" customHeight="false" outlineLevel="0" collapsed="false">
      <c r="A109" s="7" t="s">
        <v>399</v>
      </c>
      <c r="B109" s="7" t="s">
        <v>361</v>
      </c>
      <c r="C109" s="8" t="s">
        <v>31</v>
      </c>
      <c r="D109" s="7" t="s">
        <v>400</v>
      </c>
      <c r="E109" s="7" t="s">
        <v>401</v>
      </c>
      <c r="F109" s="7" t="s">
        <v>364</v>
      </c>
      <c r="G109" s="9"/>
      <c r="H109" s="7" t="s">
        <v>104</v>
      </c>
      <c r="I109" s="7" t="s">
        <v>395</v>
      </c>
      <c r="J109" s="8" t="s">
        <v>21</v>
      </c>
      <c r="K109" s="6" t="s">
        <v>22</v>
      </c>
      <c r="L109" s="7"/>
      <c r="M109" s="8" t="s">
        <v>23</v>
      </c>
    </row>
    <row r="110" customFormat="false" ht="15" hidden="false" customHeight="false" outlineLevel="0" collapsed="false">
      <c r="A110" s="3" t="s">
        <v>402</v>
      </c>
      <c r="B110" s="3" t="s">
        <v>361</v>
      </c>
      <c r="C110" s="4" t="s">
        <v>15</v>
      </c>
      <c r="D110" s="3" t="s">
        <v>403</v>
      </c>
      <c r="E110" s="3" t="s">
        <v>404</v>
      </c>
      <c r="F110" s="3" t="s">
        <v>405</v>
      </c>
      <c r="G110" s="5"/>
      <c r="H110" s="3" t="s">
        <v>95</v>
      </c>
      <c r="I110" s="3" t="s">
        <v>406</v>
      </c>
      <c r="J110" s="4" t="s">
        <v>21</v>
      </c>
      <c r="K110" s="6" t="s">
        <v>22</v>
      </c>
      <c r="L110" s="3"/>
      <c r="M110" s="4" t="s">
        <v>23</v>
      </c>
    </row>
    <row r="111" customFormat="false" ht="15" hidden="false" customHeight="false" outlineLevel="0" collapsed="false">
      <c r="A111" s="7" t="s">
        <v>407</v>
      </c>
      <c r="B111" s="7" t="s">
        <v>361</v>
      </c>
      <c r="C111" s="8" t="s">
        <v>25</v>
      </c>
      <c r="D111" s="7" t="s">
        <v>408</v>
      </c>
      <c r="E111" s="7" t="s">
        <v>409</v>
      </c>
      <c r="F111" s="7" t="s">
        <v>405</v>
      </c>
      <c r="G111" s="9"/>
      <c r="H111" s="7" t="s">
        <v>100</v>
      </c>
      <c r="I111" s="7" t="s">
        <v>406</v>
      </c>
      <c r="J111" s="8" t="s">
        <v>21</v>
      </c>
      <c r="K111" s="6" t="s">
        <v>22</v>
      </c>
      <c r="L111" s="7"/>
      <c r="M111" s="8" t="s">
        <v>23</v>
      </c>
    </row>
    <row r="112" customFormat="false" ht="15" hidden="false" customHeight="false" outlineLevel="0" collapsed="false">
      <c r="A112" s="3" t="s">
        <v>410</v>
      </c>
      <c r="B112" s="3" t="s">
        <v>361</v>
      </c>
      <c r="C112" s="4" t="s">
        <v>31</v>
      </c>
      <c r="D112" s="3" t="s">
        <v>411</v>
      </c>
      <c r="E112" s="3" t="s">
        <v>412</v>
      </c>
      <c r="F112" s="3" t="s">
        <v>405</v>
      </c>
      <c r="G112" s="5"/>
      <c r="H112" s="3" t="s">
        <v>104</v>
      </c>
      <c r="I112" s="3" t="s">
        <v>406</v>
      </c>
      <c r="J112" s="4" t="s">
        <v>21</v>
      </c>
      <c r="K112" s="6" t="s">
        <v>22</v>
      </c>
      <c r="L112" s="3"/>
      <c r="M112" s="4" t="s">
        <v>23</v>
      </c>
    </row>
    <row r="113" customFormat="false" ht="15" hidden="false" customHeight="false" outlineLevel="0" collapsed="false">
      <c r="A113" s="7" t="s">
        <v>413</v>
      </c>
      <c r="B113" s="7" t="s">
        <v>361</v>
      </c>
      <c r="C113" s="8" t="s">
        <v>15</v>
      </c>
      <c r="D113" s="7" t="s">
        <v>414</v>
      </c>
      <c r="E113" s="7" t="s">
        <v>415</v>
      </c>
      <c r="F113" s="7" t="s">
        <v>405</v>
      </c>
      <c r="G113" s="9"/>
      <c r="H113" s="7" t="s">
        <v>95</v>
      </c>
      <c r="I113" s="7" t="s">
        <v>416</v>
      </c>
      <c r="J113" s="8" t="s">
        <v>21</v>
      </c>
      <c r="K113" s="6" t="s">
        <v>22</v>
      </c>
      <c r="L113" s="7"/>
      <c r="M113" s="8" t="s">
        <v>23</v>
      </c>
    </row>
    <row r="114" customFormat="false" ht="15" hidden="false" customHeight="false" outlineLevel="0" collapsed="false">
      <c r="A114" s="3" t="s">
        <v>417</v>
      </c>
      <c r="B114" s="3" t="s">
        <v>361</v>
      </c>
      <c r="C114" s="4" t="s">
        <v>25</v>
      </c>
      <c r="D114" s="3" t="s">
        <v>418</v>
      </c>
      <c r="E114" s="3" t="s">
        <v>419</v>
      </c>
      <c r="F114" s="3" t="s">
        <v>405</v>
      </c>
      <c r="G114" s="5"/>
      <c r="H114" s="3" t="s">
        <v>100</v>
      </c>
      <c r="I114" s="3" t="s">
        <v>416</v>
      </c>
      <c r="J114" s="4" t="s">
        <v>21</v>
      </c>
      <c r="K114" s="6" t="s">
        <v>22</v>
      </c>
      <c r="L114" s="3"/>
      <c r="M114" s="4" t="s">
        <v>23</v>
      </c>
    </row>
    <row r="115" customFormat="false" ht="15" hidden="false" customHeight="false" outlineLevel="0" collapsed="false">
      <c r="A115" s="7" t="s">
        <v>420</v>
      </c>
      <c r="B115" s="7" t="s">
        <v>361</v>
      </c>
      <c r="C115" s="8" t="s">
        <v>31</v>
      </c>
      <c r="D115" s="7" t="s">
        <v>421</v>
      </c>
      <c r="E115" s="7" t="s">
        <v>422</v>
      </c>
      <c r="F115" s="7" t="s">
        <v>405</v>
      </c>
      <c r="G115" s="9"/>
      <c r="H115" s="7" t="s">
        <v>104</v>
      </c>
      <c r="I115" s="7" t="s">
        <v>416</v>
      </c>
      <c r="J115" s="8" t="s">
        <v>21</v>
      </c>
      <c r="K115" s="6" t="s">
        <v>22</v>
      </c>
      <c r="L115" s="7"/>
      <c r="M115" s="8" t="s">
        <v>23</v>
      </c>
    </row>
    <row r="116" customFormat="false" ht="15" hidden="false" customHeight="false" outlineLevel="0" collapsed="false">
      <c r="A116" s="3" t="s">
        <v>423</v>
      </c>
      <c r="B116" s="3" t="s">
        <v>361</v>
      </c>
      <c r="C116" s="4" t="s">
        <v>15</v>
      </c>
      <c r="D116" s="3" t="s">
        <v>424</v>
      </c>
      <c r="E116" s="3" t="s">
        <v>425</v>
      </c>
      <c r="F116" s="3" t="s">
        <v>405</v>
      </c>
      <c r="G116" s="5"/>
      <c r="H116" s="3" t="s">
        <v>95</v>
      </c>
      <c r="I116" s="3" t="s">
        <v>426</v>
      </c>
      <c r="J116" s="4" t="s">
        <v>21</v>
      </c>
      <c r="K116" s="6" t="s">
        <v>22</v>
      </c>
      <c r="L116" s="3"/>
      <c r="M116" s="4" t="s">
        <v>23</v>
      </c>
    </row>
    <row r="117" customFormat="false" ht="15" hidden="false" customHeight="false" outlineLevel="0" collapsed="false">
      <c r="A117" s="7" t="s">
        <v>427</v>
      </c>
      <c r="B117" s="7" t="s">
        <v>361</v>
      </c>
      <c r="C117" s="8" t="s">
        <v>25</v>
      </c>
      <c r="D117" s="7" t="s">
        <v>428</v>
      </c>
      <c r="E117" s="7" t="s">
        <v>429</v>
      </c>
      <c r="F117" s="7" t="s">
        <v>405</v>
      </c>
      <c r="G117" s="9"/>
      <c r="H117" s="7" t="s">
        <v>100</v>
      </c>
      <c r="I117" s="7" t="s">
        <v>426</v>
      </c>
      <c r="J117" s="8" t="s">
        <v>21</v>
      </c>
      <c r="K117" s="6" t="s">
        <v>22</v>
      </c>
      <c r="L117" s="7"/>
      <c r="M117" s="8" t="s">
        <v>23</v>
      </c>
    </row>
    <row r="118" customFormat="false" ht="15" hidden="false" customHeight="false" outlineLevel="0" collapsed="false">
      <c r="A118" s="3" t="s">
        <v>430</v>
      </c>
      <c r="B118" s="3" t="s">
        <v>361</v>
      </c>
      <c r="C118" s="4" t="s">
        <v>31</v>
      </c>
      <c r="D118" s="3" t="s">
        <v>431</v>
      </c>
      <c r="E118" s="3" t="s">
        <v>432</v>
      </c>
      <c r="F118" s="3" t="s">
        <v>405</v>
      </c>
      <c r="G118" s="5"/>
      <c r="H118" s="3" t="s">
        <v>104</v>
      </c>
      <c r="I118" s="3" t="s">
        <v>426</v>
      </c>
      <c r="J118" s="4" t="s">
        <v>21</v>
      </c>
      <c r="K118" s="6" t="s">
        <v>22</v>
      </c>
      <c r="L118" s="3"/>
      <c r="M118" s="4" t="s">
        <v>23</v>
      </c>
    </row>
    <row r="119" customFormat="false" ht="15" hidden="false" customHeight="false" outlineLevel="0" collapsed="false">
      <c r="A119" s="7" t="s">
        <v>433</v>
      </c>
      <c r="B119" s="7" t="s">
        <v>361</v>
      </c>
      <c r="C119" s="8" t="s">
        <v>15</v>
      </c>
      <c r="D119" s="7" t="s">
        <v>434</v>
      </c>
      <c r="E119" s="7" t="s">
        <v>435</v>
      </c>
      <c r="F119" s="7" t="s">
        <v>436</v>
      </c>
      <c r="G119" s="10" t="n">
        <v>2024</v>
      </c>
      <c r="H119" s="7" t="s">
        <v>437</v>
      </c>
      <c r="I119" s="7" t="s">
        <v>438</v>
      </c>
      <c r="J119" s="8" t="s">
        <v>21</v>
      </c>
      <c r="K119" s="12" t="s">
        <v>343</v>
      </c>
      <c r="L119" s="7"/>
      <c r="M119" s="8" t="s">
        <v>23</v>
      </c>
    </row>
    <row r="120" customFormat="false" ht="15" hidden="false" customHeight="false" outlineLevel="0" collapsed="false">
      <c r="A120" s="3" t="s">
        <v>439</v>
      </c>
      <c r="B120" s="3" t="s">
        <v>361</v>
      </c>
      <c r="C120" s="4" t="s">
        <v>25</v>
      </c>
      <c r="D120" s="3" t="s">
        <v>440</v>
      </c>
      <c r="E120" s="3" t="s">
        <v>441</v>
      </c>
      <c r="F120" s="3" t="s">
        <v>436</v>
      </c>
      <c r="G120" s="11" t="n">
        <v>2024</v>
      </c>
      <c r="H120" s="3" t="s">
        <v>442</v>
      </c>
      <c r="I120" s="3" t="s">
        <v>438</v>
      </c>
      <c r="J120" s="4" t="s">
        <v>21</v>
      </c>
      <c r="K120" s="12" t="s">
        <v>343</v>
      </c>
      <c r="L120" s="3"/>
      <c r="M120" s="4" t="s">
        <v>23</v>
      </c>
    </row>
    <row r="121" customFormat="false" ht="15" hidden="false" customHeight="false" outlineLevel="0" collapsed="false">
      <c r="A121" s="7" t="s">
        <v>443</v>
      </c>
      <c r="B121" s="7" t="s">
        <v>361</v>
      </c>
      <c r="C121" s="8" t="s">
        <v>31</v>
      </c>
      <c r="D121" s="7" t="s">
        <v>444</v>
      </c>
      <c r="E121" s="7" t="s">
        <v>445</v>
      </c>
      <c r="F121" s="7" t="s">
        <v>436</v>
      </c>
      <c r="G121" s="10" t="n">
        <v>2024</v>
      </c>
      <c r="H121" s="7" t="s">
        <v>446</v>
      </c>
      <c r="I121" s="7" t="s">
        <v>438</v>
      </c>
      <c r="J121" s="8" t="s">
        <v>21</v>
      </c>
      <c r="K121" s="12" t="s">
        <v>343</v>
      </c>
      <c r="L121" s="7"/>
      <c r="M121" s="8" t="s">
        <v>23</v>
      </c>
    </row>
    <row r="122" customFormat="false" ht="15" hidden="false" customHeight="false" outlineLevel="0" collapsed="false">
      <c r="A122" s="3" t="s">
        <v>447</v>
      </c>
      <c r="B122" s="3" t="s">
        <v>448</v>
      </c>
      <c r="C122" s="4" t="s">
        <v>15</v>
      </c>
      <c r="D122" s="3" t="s">
        <v>449</v>
      </c>
      <c r="E122" s="3" t="s">
        <v>450</v>
      </c>
      <c r="F122" s="3" t="s">
        <v>79</v>
      </c>
      <c r="G122" s="11" t="n">
        <v>2026</v>
      </c>
      <c r="H122" s="3" t="s">
        <v>80</v>
      </c>
      <c r="I122" s="3" t="s">
        <v>451</v>
      </c>
      <c r="J122" s="4" t="s">
        <v>21</v>
      </c>
      <c r="K122" s="6" t="s">
        <v>22</v>
      </c>
      <c r="L122" s="3"/>
      <c r="M122" s="4" t="s">
        <v>23</v>
      </c>
    </row>
    <row r="123" customFormat="false" ht="15" hidden="false" customHeight="false" outlineLevel="0" collapsed="false">
      <c r="A123" s="7" t="s">
        <v>452</v>
      </c>
      <c r="B123" s="7" t="s">
        <v>448</v>
      </c>
      <c r="C123" s="8" t="s">
        <v>25</v>
      </c>
      <c r="D123" s="7" t="s">
        <v>453</v>
      </c>
      <c r="E123" s="7" t="s">
        <v>454</v>
      </c>
      <c r="F123" s="7" t="s">
        <v>79</v>
      </c>
      <c r="G123" s="10" t="n">
        <v>2026</v>
      </c>
      <c r="H123" s="7" t="s">
        <v>85</v>
      </c>
      <c r="I123" s="7" t="s">
        <v>451</v>
      </c>
      <c r="J123" s="8" t="s">
        <v>21</v>
      </c>
      <c r="K123" s="6" t="s">
        <v>22</v>
      </c>
      <c r="L123" s="7"/>
      <c r="M123" s="8" t="s">
        <v>23</v>
      </c>
    </row>
    <row r="124" customFormat="false" ht="15" hidden="false" customHeight="false" outlineLevel="0" collapsed="false">
      <c r="A124" s="3" t="s">
        <v>455</v>
      </c>
      <c r="B124" s="3" t="s">
        <v>448</v>
      </c>
      <c r="C124" s="4" t="s">
        <v>31</v>
      </c>
      <c r="D124" s="3" t="s">
        <v>456</v>
      </c>
      <c r="E124" s="3" t="s">
        <v>457</v>
      </c>
      <c r="F124" s="3" t="s">
        <v>79</v>
      </c>
      <c r="G124" s="11" t="n">
        <v>2026</v>
      </c>
      <c r="H124" s="3" t="s">
        <v>89</v>
      </c>
      <c r="I124" s="3" t="s">
        <v>451</v>
      </c>
      <c r="J124" s="4" t="s">
        <v>21</v>
      </c>
      <c r="K124" s="6" t="s">
        <v>22</v>
      </c>
      <c r="L124" s="3"/>
      <c r="M124" s="4" t="s">
        <v>23</v>
      </c>
    </row>
    <row r="125" customFormat="false" ht="15" hidden="false" customHeight="false" outlineLevel="0" collapsed="false">
      <c r="A125" s="7" t="s">
        <v>458</v>
      </c>
      <c r="B125" s="7" t="s">
        <v>448</v>
      </c>
      <c r="C125" s="8" t="s">
        <v>15</v>
      </c>
      <c r="D125" s="7" t="s">
        <v>459</v>
      </c>
      <c r="E125" s="7" t="s">
        <v>460</v>
      </c>
      <c r="F125" s="7" t="s">
        <v>79</v>
      </c>
      <c r="G125" s="10" t="n">
        <v>2026</v>
      </c>
      <c r="H125" s="7" t="s">
        <v>80</v>
      </c>
      <c r="I125" s="7" t="s">
        <v>461</v>
      </c>
      <c r="J125" s="8" t="s">
        <v>21</v>
      </c>
      <c r="K125" s="6" t="s">
        <v>22</v>
      </c>
      <c r="L125" s="7"/>
      <c r="M125" s="8" t="s">
        <v>23</v>
      </c>
    </row>
    <row r="126" customFormat="false" ht="15" hidden="false" customHeight="false" outlineLevel="0" collapsed="false">
      <c r="A126" s="3" t="s">
        <v>462</v>
      </c>
      <c r="B126" s="3" t="s">
        <v>448</v>
      </c>
      <c r="C126" s="4" t="s">
        <v>25</v>
      </c>
      <c r="D126" s="3" t="s">
        <v>463</v>
      </c>
      <c r="E126" s="3" t="s">
        <v>464</v>
      </c>
      <c r="F126" s="3" t="s">
        <v>79</v>
      </c>
      <c r="G126" s="11" t="n">
        <v>2026</v>
      </c>
      <c r="H126" s="3" t="s">
        <v>85</v>
      </c>
      <c r="I126" s="3" t="s">
        <v>461</v>
      </c>
      <c r="J126" s="4" t="s">
        <v>21</v>
      </c>
      <c r="K126" s="6" t="s">
        <v>22</v>
      </c>
      <c r="L126" s="3"/>
      <c r="M126" s="4" t="s">
        <v>23</v>
      </c>
    </row>
    <row r="127" customFormat="false" ht="15" hidden="false" customHeight="false" outlineLevel="0" collapsed="false">
      <c r="A127" s="7" t="s">
        <v>465</v>
      </c>
      <c r="B127" s="7" t="s">
        <v>448</v>
      </c>
      <c r="C127" s="8" t="s">
        <v>31</v>
      </c>
      <c r="D127" s="7" t="s">
        <v>466</v>
      </c>
      <c r="E127" s="7" t="s">
        <v>467</v>
      </c>
      <c r="F127" s="7" t="s">
        <v>79</v>
      </c>
      <c r="G127" s="10" t="n">
        <v>2026</v>
      </c>
      <c r="H127" s="7" t="s">
        <v>89</v>
      </c>
      <c r="I127" s="7" t="s">
        <v>461</v>
      </c>
      <c r="J127" s="8" t="s">
        <v>21</v>
      </c>
      <c r="K127" s="6" t="s">
        <v>22</v>
      </c>
      <c r="L127" s="7"/>
      <c r="M127" s="8" t="s">
        <v>23</v>
      </c>
    </row>
    <row r="128" customFormat="false" ht="15" hidden="false" customHeight="false" outlineLevel="0" collapsed="false">
      <c r="A128" s="3" t="s">
        <v>468</v>
      </c>
      <c r="B128" s="3" t="s">
        <v>448</v>
      </c>
      <c r="C128" s="4" t="s">
        <v>15</v>
      </c>
      <c r="D128" s="3" t="s">
        <v>469</v>
      </c>
      <c r="E128" s="3" t="s">
        <v>470</v>
      </c>
      <c r="F128" s="3" t="s">
        <v>79</v>
      </c>
      <c r="G128" s="11" t="n">
        <v>2026</v>
      </c>
      <c r="H128" s="3" t="s">
        <v>80</v>
      </c>
      <c r="I128" s="3" t="s">
        <v>471</v>
      </c>
      <c r="J128" s="4" t="s">
        <v>21</v>
      </c>
      <c r="K128" s="6" t="s">
        <v>22</v>
      </c>
      <c r="L128" s="3"/>
      <c r="M128" s="4" t="s">
        <v>23</v>
      </c>
    </row>
    <row r="129" customFormat="false" ht="15" hidden="false" customHeight="false" outlineLevel="0" collapsed="false">
      <c r="A129" s="7" t="s">
        <v>472</v>
      </c>
      <c r="B129" s="7" t="s">
        <v>448</v>
      </c>
      <c r="C129" s="8" t="s">
        <v>25</v>
      </c>
      <c r="D129" s="7" t="s">
        <v>473</v>
      </c>
      <c r="E129" s="7" t="s">
        <v>474</v>
      </c>
      <c r="F129" s="7" t="s">
        <v>79</v>
      </c>
      <c r="G129" s="10" t="n">
        <v>2026</v>
      </c>
      <c r="H129" s="7" t="s">
        <v>85</v>
      </c>
      <c r="I129" s="7" t="s">
        <v>471</v>
      </c>
      <c r="J129" s="8" t="s">
        <v>21</v>
      </c>
      <c r="K129" s="6" t="s">
        <v>22</v>
      </c>
      <c r="L129" s="7"/>
      <c r="M129" s="8" t="s">
        <v>23</v>
      </c>
    </row>
    <row r="130" customFormat="false" ht="15" hidden="false" customHeight="false" outlineLevel="0" collapsed="false">
      <c r="A130" s="3" t="s">
        <v>475</v>
      </c>
      <c r="B130" s="3" t="s">
        <v>448</v>
      </c>
      <c r="C130" s="4" t="s">
        <v>31</v>
      </c>
      <c r="D130" s="3" t="s">
        <v>476</v>
      </c>
      <c r="E130" s="3" t="s">
        <v>477</v>
      </c>
      <c r="F130" s="3" t="s">
        <v>79</v>
      </c>
      <c r="G130" s="11" t="n">
        <v>2026</v>
      </c>
      <c r="H130" s="3" t="s">
        <v>89</v>
      </c>
      <c r="I130" s="3" t="s">
        <v>471</v>
      </c>
      <c r="J130" s="4" t="s">
        <v>21</v>
      </c>
      <c r="K130" s="6" t="s">
        <v>22</v>
      </c>
      <c r="L130" s="3"/>
      <c r="M130" s="4" t="s">
        <v>23</v>
      </c>
    </row>
    <row r="131" customFormat="false" ht="15" hidden="false" customHeight="false" outlineLevel="0" collapsed="false">
      <c r="A131" s="7" t="s">
        <v>478</v>
      </c>
      <c r="B131" s="7" t="s">
        <v>448</v>
      </c>
      <c r="C131" s="8" t="s">
        <v>15</v>
      </c>
      <c r="D131" s="7" t="s">
        <v>479</v>
      </c>
      <c r="E131" s="7" t="s">
        <v>480</v>
      </c>
      <c r="F131" s="7" t="s">
        <v>79</v>
      </c>
      <c r="G131" s="10" t="n">
        <v>2026</v>
      </c>
      <c r="H131" s="7" t="s">
        <v>80</v>
      </c>
      <c r="I131" s="7" t="s">
        <v>481</v>
      </c>
      <c r="J131" s="8" t="s">
        <v>21</v>
      </c>
      <c r="K131" s="6" t="s">
        <v>22</v>
      </c>
      <c r="L131" s="7"/>
      <c r="M131" s="8" t="s">
        <v>23</v>
      </c>
    </row>
    <row r="132" customFormat="false" ht="15" hidden="false" customHeight="false" outlineLevel="0" collapsed="false">
      <c r="A132" s="3" t="s">
        <v>482</v>
      </c>
      <c r="B132" s="3" t="s">
        <v>448</v>
      </c>
      <c r="C132" s="4" t="s">
        <v>25</v>
      </c>
      <c r="D132" s="3" t="s">
        <v>483</v>
      </c>
      <c r="E132" s="3" t="s">
        <v>484</v>
      </c>
      <c r="F132" s="3" t="s">
        <v>79</v>
      </c>
      <c r="G132" s="11" t="n">
        <v>2026</v>
      </c>
      <c r="H132" s="3" t="s">
        <v>85</v>
      </c>
      <c r="I132" s="3" t="s">
        <v>481</v>
      </c>
      <c r="J132" s="4" t="s">
        <v>21</v>
      </c>
      <c r="K132" s="6" t="s">
        <v>22</v>
      </c>
      <c r="L132" s="3"/>
      <c r="M132" s="4" t="s">
        <v>23</v>
      </c>
    </row>
    <row r="133" customFormat="false" ht="15" hidden="false" customHeight="false" outlineLevel="0" collapsed="false">
      <c r="A133" s="7" t="s">
        <v>485</v>
      </c>
      <c r="B133" s="7" t="s">
        <v>448</v>
      </c>
      <c r="C133" s="8" t="s">
        <v>31</v>
      </c>
      <c r="D133" s="7" t="s">
        <v>486</v>
      </c>
      <c r="E133" s="7" t="s">
        <v>487</v>
      </c>
      <c r="F133" s="7" t="s">
        <v>79</v>
      </c>
      <c r="G133" s="10" t="n">
        <v>2026</v>
      </c>
      <c r="H133" s="7" t="s">
        <v>89</v>
      </c>
      <c r="I133" s="7" t="s">
        <v>481</v>
      </c>
      <c r="J133" s="8" t="s">
        <v>21</v>
      </c>
      <c r="K133" s="6" t="s">
        <v>22</v>
      </c>
      <c r="L133" s="7"/>
      <c r="M133" s="8" t="s">
        <v>23</v>
      </c>
    </row>
    <row r="134" customFormat="false" ht="15" hidden="false" customHeight="false" outlineLevel="0" collapsed="false">
      <c r="A134" s="3" t="s">
        <v>488</v>
      </c>
      <c r="B134" s="3" t="s">
        <v>448</v>
      </c>
      <c r="C134" s="4" t="s">
        <v>15</v>
      </c>
      <c r="D134" s="3" t="s">
        <v>489</v>
      </c>
      <c r="E134" s="3" t="s">
        <v>490</v>
      </c>
      <c r="F134" s="3" t="s">
        <v>79</v>
      </c>
      <c r="G134" s="11" t="n">
        <v>2026</v>
      </c>
      <c r="H134" s="3" t="s">
        <v>80</v>
      </c>
      <c r="I134" s="3" t="s">
        <v>491</v>
      </c>
      <c r="J134" s="4" t="s">
        <v>21</v>
      </c>
      <c r="K134" s="6" t="s">
        <v>22</v>
      </c>
      <c r="L134" s="3"/>
      <c r="M134" s="4" t="s">
        <v>23</v>
      </c>
    </row>
    <row r="135" customFormat="false" ht="15" hidden="false" customHeight="false" outlineLevel="0" collapsed="false">
      <c r="A135" s="7" t="s">
        <v>492</v>
      </c>
      <c r="B135" s="7" t="s">
        <v>448</v>
      </c>
      <c r="C135" s="8" t="s">
        <v>25</v>
      </c>
      <c r="D135" s="7" t="s">
        <v>493</v>
      </c>
      <c r="E135" s="7" t="s">
        <v>494</v>
      </c>
      <c r="F135" s="7" t="s">
        <v>79</v>
      </c>
      <c r="G135" s="10" t="n">
        <v>2026</v>
      </c>
      <c r="H135" s="7" t="s">
        <v>85</v>
      </c>
      <c r="I135" s="7" t="s">
        <v>491</v>
      </c>
      <c r="J135" s="8" t="s">
        <v>21</v>
      </c>
      <c r="K135" s="6" t="s">
        <v>22</v>
      </c>
      <c r="L135" s="7"/>
      <c r="M135" s="8" t="s">
        <v>23</v>
      </c>
    </row>
    <row r="136" customFormat="false" ht="15" hidden="false" customHeight="false" outlineLevel="0" collapsed="false">
      <c r="A136" s="3" t="s">
        <v>495</v>
      </c>
      <c r="B136" s="3" t="s">
        <v>448</v>
      </c>
      <c r="C136" s="4" t="s">
        <v>31</v>
      </c>
      <c r="D136" s="3" t="s">
        <v>496</v>
      </c>
      <c r="E136" s="3" t="s">
        <v>497</v>
      </c>
      <c r="F136" s="3" t="s">
        <v>79</v>
      </c>
      <c r="G136" s="11" t="n">
        <v>2026</v>
      </c>
      <c r="H136" s="3" t="s">
        <v>89</v>
      </c>
      <c r="I136" s="3" t="s">
        <v>491</v>
      </c>
      <c r="J136" s="4" t="s">
        <v>21</v>
      </c>
      <c r="K136" s="6" t="s">
        <v>22</v>
      </c>
      <c r="L136" s="3"/>
      <c r="M136" s="4" t="s">
        <v>23</v>
      </c>
    </row>
    <row r="137" customFormat="false" ht="15" hidden="false" customHeight="false" outlineLevel="0" collapsed="false">
      <c r="A137" s="7" t="s">
        <v>498</v>
      </c>
      <c r="B137" s="7" t="s">
        <v>448</v>
      </c>
      <c r="C137" s="8" t="s">
        <v>15</v>
      </c>
      <c r="D137" s="7" t="s">
        <v>499</v>
      </c>
      <c r="E137" s="7" t="s">
        <v>500</v>
      </c>
      <c r="F137" s="7" t="s">
        <v>79</v>
      </c>
      <c r="G137" s="10" t="n">
        <v>2026</v>
      </c>
      <c r="H137" s="7" t="s">
        <v>80</v>
      </c>
      <c r="I137" s="7" t="s">
        <v>501</v>
      </c>
      <c r="J137" s="8" t="s">
        <v>21</v>
      </c>
      <c r="K137" s="6" t="s">
        <v>22</v>
      </c>
      <c r="L137" s="7"/>
      <c r="M137" s="8" t="s">
        <v>23</v>
      </c>
    </row>
    <row r="138" customFormat="false" ht="15" hidden="false" customHeight="false" outlineLevel="0" collapsed="false">
      <c r="A138" s="3" t="s">
        <v>502</v>
      </c>
      <c r="B138" s="3" t="s">
        <v>448</v>
      </c>
      <c r="C138" s="4" t="s">
        <v>25</v>
      </c>
      <c r="D138" s="3" t="s">
        <v>503</v>
      </c>
      <c r="E138" s="3" t="s">
        <v>504</v>
      </c>
      <c r="F138" s="3" t="s">
        <v>79</v>
      </c>
      <c r="G138" s="11" t="n">
        <v>2026</v>
      </c>
      <c r="H138" s="3" t="s">
        <v>85</v>
      </c>
      <c r="I138" s="3" t="s">
        <v>501</v>
      </c>
      <c r="J138" s="4" t="s">
        <v>21</v>
      </c>
      <c r="K138" s="6" t="s">
        <v>22</v>
      </c>
      <c r="L138" s="3"/>
      <c r="M138" s="4" t="s">
        <v>23</v>
      </c>
    </row>
    <row r="139" customFormat="false" ht="15" hidden="false" customHeight="false" outlineLevel="0" collapsed="false">
      <c r="A139" s="7" t="s">
        <v>505</v>
      </c>
      <c r="B139" s="7" t="s">
        <v>448</v>
      </c>
      <c r="C139" s="8" t="s">
        <v>31</v>
      </c>
      <c r="D139" s="7" t="s">
        <v>506</v>
      </c>
      <c r="E139" s="7" t="s">
        <v>507</v>
      </c>
      <c r="F139" s="7" t="s">
        <v>79</v>
      </c>
      <c r="G139" s="10" t="n">
        <v>2026</v>
      </c>
      <c r="H139" s="7" t="s">
        <v>89</v>
      </c>
      <c r="I139" s="7" t="s">
        <v>501</v>
      </c>
      <c r="J139" s="8" t="s">
        <v>21</v>
      </c>
      <c r="K139" s="6" t="s">
        <v>22</v>
      </c>
      <c r="L139" s="7"/>
      <c r="M139" s="8" t="s">
        <v>23</v>
      </c>
    </row>
    <row r="140" customFormat="false" ht="15" hidden="false" customHeight="false" outlineLevel="0" collapsed="false">
      <c r="A140" s="3" t="s">
        <v>508</v>
      </c>
      <c r="B140" s="3" t="s">
        <v>448</v>
      </c>
      <c r="C140" s="4" t="s">
        <v>15</v>
      </c>
      <c r="D140" s="3" t="s">
        <v>509</v>
      </c>
      <c r="E140" s="3" t="s">
        <v>510</v>
      </c>
      <c r="F140" s="3" t="s">
        <v>79</v>
      </c>
      <c r="G140" s="11" t="n">
        <v>2026</v>
      </c>
      <c r="H140" s="3" t="s">
        <v>80</v>
      </c>
      <c r="I140" s="3" t="s">
        <v>511</v>
      </c>
      <c r="J140" s="4" t="s">
        <v>21</v>
      </c>
      <c r="K140" s="6" t="s">
        <v>22</v>
      </c>
      <c r="L140" s="3"/>
      <c r="M140" s="4" t="s">
        <v>23</v>
      </c>
    </row>
    <row r="141" customFormat="false" ht="15" hidden="false" customHeight="false" outlineLevel="0" collapsed="false">
      <c r="A141" s="7" t="s">
        <v>512</v>
      </c>
      <c r="B141" s="7" t="s">
        <v>448</v>
      </c>
      <c r="C141" s="8" t="s">
        <v>25</v>
      </c>
      <c r="D141" s="7" t="s">
        <v>513</v>
      </c>
      <c r="E141" s="7" t="s">
        <v>514</v>
      </c>
      <c r="F141" s="7" t="s">
        <v>79</v>
      </c>
      <c r="G141" s="10" t="n">
        <v>2026</v>
      </c>
      <c r="H141" s="7" t="s">
        <v>85</v>
      </c>
      <c r="I141" s="7" t="s">
        <v>511</v>
      </c>
      <c r="J141" s="8" t="s">
        <v>21</v>
      </c>
      <c r="K141" s="6" t="s">
        <v>22</v>
      </c>
      <c r="L141" s="7"/>
      <c r="M141" s="8" t="s">
        <v>23</v>
      </c>
    </row>
    <row r="142" customFormat="false" ht="15" hidden="false" customHeight="false" outlineLevel="0" collapsed="false">
      <c r="A142" s="3" t="s">
        <v>515</v>
      </c>
      <c r="B142" s="3" t="s">
        <v>448</v>
      </c>
      <c r="C142" s="4" t="s">
        <v>31</v>
      </c>
      <c r="D142" s="3" t="s">
        <v>516</v>
      </c>
      <c r="E142" s="3" t="s">
        <v>517</v>
      </c>
      <c r="F142" s="3" t="s">
        <v>79</v>
      </c>
      <c r="G142" s="11" t="n">
        <v>2026</v>
      </c>
      <c r="H142" s="3" t="s">
        <v>89</v>
      </c>
      <c r="I142" s="3" t="s">
        <v>511</v>
      </c>
      <c r="J142" s="4" t="s">
        <v>21</v>
      </c>
      <c r="K142" s="6" t="s">
        <v>22</v>
      </c>
      <c r="L142" s="3"/>
      <c r="M142" s="4" t="s">
        <v>23</v>
      </c>
    </row>
    <row r="143" customFormat="false" ht="15" hidden="false" customHeight="false" outlineLevel="0" collapsed="false">
      <c r="A143" s="7" t="s">
        <v>518</v>
      </c>
      <c r="B143" s="7" t="s">
        <v>448</v>
      </c>
      <c r="C143" s="8" t="s">
        <v>15</v>
      </c>
      <c r="D143" s="7" t="s">
        <v>519</v>
      </c>
      <c r="E143" s="7" t="s">
        <v>520</v>
      </c>
      <c r="F143" s="7" t="s">
        <v>79</v>
      </c>
      <c r="G143" s="10" t="n">
        <v>2026</v>
      </c>
      <c r="H143" s="7" t="s">
        <v>80</v>
      </c>
      <c r="I143" s="7" t="s">
        <v>521</v>
      </c>
      <c r="J143" s="8" t="s">
        <v>21</v>
      </c>
      <c r="K143" s="6" t="s">
        <v>22</v>
      </c>
      <c r="L143" s="7"/>
      <c r="M143" s="8" t="s">
        <v>23</v>
      </c>
    </row>
    <row r="144" customFormat="false" ht="15" hidden="false" customHeight="false" outlineLevel="0" collapsed="false">
      <c r="A144" s="3" t="s">
        <v>522</v>
      </c>
      <c r="B144" s="3" t="s">
        <v>448</v>
      </c>
      <c r="C144" s="4" t="s">
        <v>25</v>
      </c>
      <c r="D144" s="3" t="s">
        <v>523</v>
      </c>
      <c r="E144" s="3" t="s">
        <v>524</v>
      </c>
      <c r="F144" s="3" t="s">
        <v>79</v>
      </c>
      <c r="G144" s="11" t="n">
        <v>2026</v>
      </c>
      <c r="H144" s="3" t="s">
        <v>85</v>
      </c>
      <c r="I144" s="3" t="s">
        <v>521</v>
      </c>
      <c r="J144" s="4" t="s">
        <v>21</v>
      </c>
      <c r="K144" s="6" t="s">
        <v>22</v>
      </c>
      <c r="L144" s="3"/>
      <c r="M144" s="4" t="s">
        <v>23</v>
      </c>
    </row>
    <row r="145" customFormat="false" ht="15" hidden="false" customHeight="false" outlineLevel="0" collapsed="false">
      <c r="A145" s="7" t="s">
        <v>525</v>
      </c>
      <c r="B145" s="7" t="s">
        <v>448</v>
      </c>
      <c r="C145" s="8" t="s">
        <v>31</v>
      </c>
      <c r="D145" s="7" t="s">
        <v>526</v>
      </c>
      <c r="E145" s="7" t="s">
        <v>527</v>
      </c>
      <c r="F145" s="7" t="s">
        <v>79</v>
      </c>
      <c r="G145" s="10" t="n">
        <v>2026</v>
      </c>
      <c r="H145" s="7" t="s">
        <v>89</v>
      </c>
      <c r="I145" s="7" t="s">
        <v>521</v>
      </c>
      <c r="J145" s="8" t="s">
        <v>21</v>
      </c>
      <c r="K145" s="6" t="s">
        <v>22</v>
      </c>
      <c r="L145" s="7"/>
      <c r="M145" s="8" t="s">
        <v>23</v>
      </c>
    </row>
    <row r="146" customFormat="false" ht="15" hidden="false" customHeight="false" outlineLevel="0" collapsed="false">
      <c r="A146" s="3" t="s">
        <v>528</v>
      </c>
      <c r="B146" s="3" t="s">
        <v>448</v>
      </c>
      <c r="C146" s="4" t="s">
        <v>15</v>
      </c>
      <c r="D146" s="3" t="s">
        <v>529</v>
      </c>
      <c r="E146" s="3" t="s">
        <v>530</v>
      </c>
      <c r="F146" s="3" t="s">
        <v>531</v>
      </c>
      <c r="G146" s="11" t="n">
        <v>2026</v>
      </c>
      <c r="H146" s="3" t="s">
        <v>532</v>
      </c>
      <c r="I146" s="3" t="s">
        <v>533</v>
      </c>
      <c r="J146" s="4" t="s">
        <v>21</v>
      </c>
      <c r="K146" s="6" t="s">
        <v>22</v>
      </c>
      <c r="L146" s="3"/>
      <c r="M146" s="4" t="s">
        <v>23</v>
      </c>
    </row>
    <row r="147" customFormat="false" ht="15" hidden="false" customHeight="false" outlineLevel="0" collapsed="false">
      <c r="A147" s="7" t="s">
        <v>534</v>
      </c>
      <c r="B147" s="7" t="s">
        <v>448</v>
      </c>
      <c r="C147" s="8" t="s">
        <v>25</v>
      </c>
      <c r="D147" s="7" t="s">
        <v>535</v>
      </c>
      <c r="E147" s="7" t="s">
        <v>536</v>
      </c>
      <c r="F147" s="7" t="s">
        <v>531</v>
      </c>
      <c r="G147" s="10" t="n">
        <v>2026</v>
      </c>
      <c r="H147" s="7" t="s">
        <v>537</v>
      </c>
      <c r="I147" s="7" t="s">
        <v>533</v>
      </c>
      <c r="J147" s="8" t="s">
        <v>21</v>
      </c>
      <c r="K147" s="6" t="s">
        <v>22</v>
      </c>
      <c r="L147" s="7"/>
      <c r="M147" s="8" t="s">
        <v>23</v>
      </c>
    </row>
    <row r="148" customFormat="false" ht="15" hidden="false" customHeight="false" outlineLevel="0" collapsed="false">
      <c r="A148" s="3" t="s">
        <v>538</v>
      </c>
      <c r="B148" s="3" t="s">
        <v>448</v>
      </c>
      <c r="C148" s="4" t="s">
        <v>31</v>
      </c>
      <c r="D148" s="3" t="s">
        <v>539</v>
      </c>
      <c r="E148" s="3" t="s">
        <v>540</v>
      </c>
      <c r="F148" s="3" t="s">
        <v>531</v>
      </c>
      <c r="G148" s="11" t="n">
        <v>2026</v>
      </c>
      <c r="H148" s="3" t="s">
        <v>541</v>
      </c>
      <c r="I148" s="3" t="s">
        <v>533</v>
      </c>
      <c r="J148" s="4" t="s">
        <v>21</v>
      </c>
      <c r="K148" s="6" t="s">
        <v>22</v>
      </c>
      <c r="L148" s="3"/>
      <c r="M148" s="4" t="s">
        <v>23</v>
      </c>
    </row>
    <row r="149" customFormat="false" ht="15" hidden="false" customHeight="false" outlineLevel="0" collapsed="false">
      <c r="A149" s="7" t="s">
        <v>542</v>
      </c>
      <c r="B149" s="7" t="s">
        <v>448</v>
      </c>
      <c r="C149" s="8" t="s">
        <v>15</v>
      </c>
      <c r="D149" s="7" t="s">
        <v>543</v>
      </c>
      <c r="E149" s="7" t="s">
        <v>544</v>
      </c>
      <c r="F149" s="7" t="s">
        <v>531</v>
      </c>
      <c r="G149" s="10" t="n">
        <v>2026</v>
      </c>
      <c r="H149" s="7" t="s">
        <v>545</v>
      </c>
      <c r="I149" s="7" t="s">
        <v>546</v>
      </c>
      <c r="J149" s="8" t="s">
        <v>21</v>
      </c>
      <c r="K149" s="12" t="s">
        <v>343</v>
      </c>
      <c r="L149" s="7"/>
      <c r="M149" s="8" t="s">
        <v>23</v>
      </c>
    </row>
    <row r="150" customFormat="false" ht="15" hidden="false" customHeight="false" outlineLevel="0" collapsed="false">
      <c r="A150" s="3" t="s">
        <v>547</v>
      </c>
      <c r="B150" s="3" t="s">
        <v>448</v>
      </c>
      <c r="C150" s="4" t="s">
        <v>25</v>
      </c>
      <c r="D150" s="3" t="s">
        <v>548</v>
      </c>
      <c r="E150" s="3" t="s">
        <v>549</v>
      </c>
      <c r="F150" s="3" t="s">
        <v>531</v>
      </c>
      <c r="G150" s="11" t="n">
        <v>2026</v>
      </c>
      <c r="H150" s="3" t="s">
        <v>550</v>
      </c>
      <c r="I150" s="3" t="s">
        <v>546</v>
      </c>
      <c r="J150" s="4" t="s">
        <v>21</v>
      </c>
      <c r="K150" s="12" t="s">
        <v>343</v>
      </c>
      <c r="L150" s="3"/>
      <c r="M150" s="4" t="s">
        <v>23</v>
      </c>
    </row>
    <row r="151" customFormat="false" ht="15" hidden="false" customHeight="false" outlineLevel="0" collapsed="false">
      <c r="A151" s="7" t="s">
        <v>551</v>
      </c>
      <c r="B151" s="7" t="s">
        <v>448</v>
      </c>
      <c r="C151" s="8" t="s">
        <v>31</v>
      </c>
      <c r="D151" s="7" t="s">
        <v>552</v>
      </c>
      <c r="E151" s="7" t="s">
        <v>553</v>
      </c>
      <c r="F151" s="7" t="s">
        <v>531</v>
      </c>
      <c r="G151" s="10" t="n">
        <v>2026</v>
      </c>
      <c r="H151" s="7" t="s">
        <v>554</v>
      </c>
      <c r="I151" s="7" t="s">
        <v>546</v>
      </c>
      <c r="J151" s="8" t="s">
        <v>21</v>
      </c>
      <c r="K151" s="12" t="s">
        <v>343</v>
      </c>
      <c r="L151" s="7"/>
      <c r="M151" s="8" t="s">
        <v>23</v>
      </c>
    </row>
    <row r="152" customFormat="false" ht="15" hidden="false" customHeight="false" outlineLevel="0" collapsed="false">
      <c r="A152" s="3" t="s">
        <v>555</v>
      </c>
      <c r="B152" s="3" t="s">
        <v>556</v>
      </c>
      <c r="C152" s="4" t="s">
        <v>15</v>
      </c>
      <c r="D152" s="3" t="s">
        <v>557</v>
      </c>
      <c r="E152" s="3" t="s">
        <v>558</v>
      </c>
      <c r="F152" s="3" t="s">
        <v>531</v>
      </c>
      <c r="G152" s="11" t="n">
        <v>2026</v>
      </c>
      <c r="H152" s="3" t="s">
        <v>80</v>
      </c>
      <c r="I152" s="3" t="s">
        <v>559</v>
      </c>
      <c r="J152" s="4" t="s">
        <v>21</v>
      </c>
      <c r="K152" s="6" t="s">
        <v>22</v>
      </c>
      <c r="L152" s="3"/>
      <c r="M152" s="4" t="s">
        <v>23</v>
      </c>
    </row>
    <row r="153" customFormat="false" ht="15" hidden="false" customHeight="false" outlineLevel="0" collapsed="false">
      <c r="A153" s="7" t="s">
        <v>560</v>
      </c>
      <c r="B153" s="7" t="s">
        <v>556</v>
      </c>
      <c r="C153" s="8" t="s">
        <v>25</v>
      </c>
      <c r="D153" s="7" t="s">
        <v>561</v>
      </c>
      <c r="E153" s="7" t="s">
        <v>562</v>
      </c>
      <c r="F153" s="7" t="s">
        <v>531</v>
      </c>
      <c r="G153" s="10" t="n">
        <v>2026</v>
      </c>
      <c r="H153" s="7" t="s">
        <v>85</v>
      </c>
      <c r="I153" s="7" t="s">
        <v>559</v>
      </c>
      <c r="J153" s="8" t="s">
        <v>21</v>
      </c>
      <c r="K153" s="6" t="s">
        <v>22</v>
      </c>
      <c r="L153" s="7"/>
      <c r="M153" s="8" t="s">
        <v>23</v>
      </c>
    </row>
    <row r="154" customFormat="false" ht="15" hidden="false" customHeight="false" outlineLevel="0" collapsed="false">
      <c r="A154" s="3" t="s">
        <v>563</v>
      </c>
      <c r="B154" s="3" t="s">
        <v>556</v>
      </c>
      <c r="C154" s="4" t="s">
        <v>31</v>
      </c>
      <c r="D154" s="3" t="s">
        <v>564</v>
      </c>
      <c r="E154" s="3" t="s">
        <v>565</v>
      </c>
      <c r="F154" s="3" t="s">
        <v>531</v>
      </c>
      <c r="G154" s="11" t="n">
        <v>2026</v>
      </c>
      <c r="H154" s="3" t="s">
        <v>89</v>
      </c>
      <c r="I154" s="3" t="s">
        <v>559</v>
      </c>
      <c r="J154" s="4" t="s">
        <v>21</v>
      </c>
      <c r="K154" s="6" t="s">
        <v>22</v>
      </c>
      <c r="L154" s="3"/>
      <c r="M154" s="4" t="s">
        <v>23</v>
      </c>
    </row>
    <row r="155" customFormat="false" ht="15" hidden="false" customHeight="false" outlineLevel="0" collapsed="false">
      <c r="A155" s="7" t="s">
        <v>566</v>
      </c>
      <c r="B155" s="7" t="s">
        <v>556</v>
      </c>
      <c r="C155" s="8" t="s">
        <v>15</v>
      </c>
      <c r="D155" s="7" t="s">
        <v>567</v>
      </c>
      <c r="E155" s="7" t="s">
        <v>568</v>
      </c>
      <c r="F155" s="7" t="s">
        <v>531</v>
      </c>
      <c r="G155" s="10" t="n">
        <v>2026</v>
      </c>
      <c r="H155" s="7" t="s">
        <v>80</v>
      </c>
      <c r="I155" s="7" t="s">
        <v>569</v>
      </c>
      <c r="J155" s="8" t="s">
        <v>21</v>
      </c>
      <c r="K155" s="6" t="s">
        <v>22</v>
      </c>
      <c r="L155" s="7"/>
      <c r="M155" s="8" t="s">
        <v>23</v>
      </c>
    </row>
    <row r="156" customFormat="false" ht="15" hidden="false" customHeight="false" outlineLevel="0" collapsed="false">
      <c r="A156" s="3" t="s">
        <v>570</v>
      </c>
      <c r="B156" s="3" t="s">
        <v>556</v>
      </c>
      <c r="C156" s="4" t="s">
        <v>25</v>
      </c>
      <c r="D156" s="3" t="s">
        <v>571</v>
      </c>
      <c r="E156" s="3" t="s">
        <v>572</v>
      </c>
      <c r="F156" s="3" t="s">
        <v>531</v>
      </c>
      <c r="G156" s="11" t="n">
        <v>2026</v>
      </c>
      <c r="H156" s="3" t="s">
        <v>85</v>
      </c>
      <c r="I156" s="3" t="s">
        <v>569</v>
      </c>
      <c r="J156" s="4" t="s">
        <v>21</v>
      </c>
      <c r="K156" s="6" t="s">
        <v>22</v>
      </c>
      <c r="L156" s="3"/>
      <c r="M156" s="4" t="s">
        <v>23</v>
      </c>
    </row>
    <row r="157" customFormat="false" ht="15" hidden="false" customHeight="false" outlineLevel="0" collapsed="false">
      <c r="A157" s="7" t="s">
        <v>573</v>
      </c>
      <c r="B157" s="7" t="s">
        <v>556</v>
      </c>
      <c r="C157" s="8" t="s">
        <v>31</v>
      </c>
      <c r="D157" s="7" t="s">
        <v>574</v>
      </c>
      <c r="E157" s="7" t="s">
        <v>575</v>
      </c>
      <c r="F157" s="7" t="s">
        <v>531</v>
      </c>
      <c r="G157" s="10" t="n">
        <v>2026</v>
      </c>
      <c r="H157" s="7" t="s">
        <v>89</v>
      </c>
      <c r="I157" s="7" t="s">
        <v>569</v>
      </c>
      <c r="J157" s="8" t="s">
        <v>21</v>
      </c>
      <c r="K157" s="6" t="s">
        <v>22</v>
      </c>
      <c r="L157" s="7"/>
      <c r="M157" s="8" t="s">
        <v>23</v>
      </c>
    </row>
    <row r="158" customFormat="false" ht="15" hidden="false" customHeight="false" outlineLevel="0" collapsed="false">
      <c r="A158" s="3" t="s">
        <v>576</v>
      </c>
      <c r="B158" s="3" t="s">
        <v>556</v>
      </c>
      <c r="C158" s="4" t="s">
        <v>15</v>
      </c>
      <c r="D158" s="3" t="s">
        <v>577</v>
      </c>
      <c r="E158" s="3" t="s">
        <v>578</v>
      </c>
      <c r="F158" s="3" t="s">
        <v>531</v>
      </c>
      <c r="G158" s="11" t="n">
        <v>2026</v>
      </c>
      <c r="H158" s="3" t="s">
        <v>80</v>
      </c>
      <c r="I158" s="3" t="s">
        <v>579</v>
      </c>
      <c r="J158" s="4" t="s">
        <v>21</v>
      </c>
      <c r="K158" s="6" t="s">
        <v>22</v>
      </c>
      <c r="L158" s="3"/>
      <c r="M158" s="4" t="s">
        <v>23</v>
      </c>
    </row>
    <row r="159" customFormat="false" ht="15" hidden="false" customHeight="false" outlineLevel="0" collapsed="false">
      <c r="A159" s="7" t="s">
        <v>580</v>
      </c>
      <c r="B159" s="7" t="s">
        <v>556</v>
      </c>
      <c r="C159" s="8" t="s">
        <v>25</v>
      </c>
      <c r="D159" s="7" t="s">
        <v>581</v>
      </c>
      <c r="E159" s="7" t="s">
        <v>582</v>
      </c>
      <c r="F159" s="7" t="s">
        <v>531</v>
      </c>
      <c r="G159" s="10" t="n">
        <v>2026</v>
      </c>
      <c r="H159" s="7" t="s">
        <v>85</v>
      </c>
      <c r="I159" s="7" t="s">
        <v>579</v>
      </c>
      <c r="J159" s="8" t="s">
        <v>21</v>
      </c>
      <c r="K159" s="6" t="s">
        <v>22</v>
      </c>
      <c r="L159" s="7"/>
      <c r="M159" s="8" t="s">
        <v>23</v>
      </c>
    </row>
    <row r="160" customFormat="false" ht="15" hidden="false" customHeight="false" outlineLevel="0" collapsed="false">
      <c r="A160" s="3" t="s">
        <v>583</v>
      </c>
      <c r="B160" s="3" t="s">
        <v>556</v>
      </c>
      <c r="C160" s="4" t="s">
        <v>31</v>
      </c>
      <c r="D160" s="3" t="s">
        <v>584</v>
      </c>
      <c r="E160" s="3" t="s">
        <v>585</v>
      </c>
      <c r="F160" s="3" t="s">
        <v>531</v>
      </c>
      <c r="G160" s="11" t="n">
        <v>2026</v>
      </c>
      <c r="H160" s="3" t="s">
        <v>89</v>
      </c>
      <c r="I160" s="3" t="s">
        <v>579</v>
      </c>
      <c r="J160" s="4" t="s">
        <v>21</v>
      </c>
      <c r="K160" s="6" t="s">
        <v>22</v>
      </c>
      <c r="L160" s="3"/>
      <c r="M160" s="4" t="s">
        <v>23</v>
      </c>
    </row>
    <row r="161" customFormat="false" ht="15" hidden="false" customHeight="false" outlineLevel="0" collapsed="false">
      <c r="A161" s="7" t="s">
        <v>586</v>
      </c>
      <c r="B161" s="7" t="s">
        <v>556</v>
      </c>
      <c r="C161" s="8" t="s">
        <v>15</v>
      </c>
      <c r="D161" s="7" t="s">
        <v>587</v>
      </c>
      <c r="E161" s="7" t="s">
        <v>588</v>
      </c>
      <c r="F161" s="7" t="s">
        <v>531</v>
      </c>
      <c r="G161" s="10" t="n">
        <v>2026</v>
      </c>
      <c r="H161" s="7" t="s">
        <v>80</v>
      </c>
      <c r="I161" s="7" t="s">
        <v>589</v>
      </c>
      <c r="J161" s="8" t="s">
        <v>21</v>
      </c>
      <c r="K161" s="6" t="s">
        <v>22</v>
      </c>
      <c r="L161" s="7"/>
      <c r="M161" s="8" t="s">
        <v>23</v>
      </c>
    </row>
    <row r="162" customFormat="false" ht="15" hidden="false" customHeight="false" outlineLevel="0" collapsed="false">
      <c r="A162" s="3" t="s">
        <v>590</v>
      </c>
      <c r="B162" s="3" t="s">
        <v>556</v>
      </c>
      <c r="C162" s="4" t="s">
        <v>25</v>
      </c>
      <c r="D162" s="3" t="s">
        <v>591</v>
      </c>
      <c r="E162" s="3" t="s">
        <v>592</v>
      </c>
      <c r="F162" s="3" t="s">
        <v>531</v>
      </c>
      <c r="G162" s="11" t="n">
        <v>2026</v>
      </c>
      <c r="H162" s="3" t="s">
        <v>85</v>
      </c>
      <c r="I162" s="3" t="s">
        <v>589</v>
      </c>
      <c r="J162" s="4" t="s">
        <v>21</v>
      </c>
      <c r="K162" s="6" t="s">
        <v>22</v>
      </c>
      <c r="L162" s="3"/>
      <c r="M162" s="4" t="s">
        <v>23</v>
      </c>
    </row>
    <row r="163" customFormat="false" ht="15" hidden="false" customHeight="false" outlineLevel="0" collapsed="false">
      <c r="A163" s="7" t="s">
        <v>593</v>
      </c>
      <c r="B163" s="7" t="s">
        <v>556</v>
      </c>
      <c r="C163" s="8" t="s">
        <v>31</v>
      </c>
      <c r="D163" s="7" t="s">
        <v>594</v>
      </c>
      <c r="E163" s="7" t="s">
        <v>595</v>
      </c>
      <c r="F163" s="7" t="s">
        <v>531</v>
      </c>
      <c r="G163" s="10" t="n">
        <v>2026</v>
      </c>
      <c r="H163" s="7" t="s">
        <v>89</v>
      </c>
      <c r="I163" s="7" t="s">
        <v>589</v>
      </c>
      <c r="J163" s="8" t="s">
        <v>21</v>
      </c>
      <c r="K163" s="6" t="s">
        <v>22</v>
      </c>
      <c r="L163" s="7"/>
      <c r="M163" s="8" t="s">
        <v>23</v>
      </c>
    </row>
    <row r="164" customFormat="false" ht="15" hidden="false" customHeight="false" outlineLevel="0" collapsed="false">
      <c r="A164" s="3" t="s">
        <v>596</v>
      </c>
      <c r="B164" s="3" t="s">
        <v>556</v>
      </c>
      <c r="C164" s="4" t="s">
        <v>15</v>
      </c>
      <c r="D164" s="3" t="s">
        <v>597</v>
      </c>
      <c r="E164" s="3" t="s">
        <v>598</v>
      </c>
      <c r="F164" s="3" t="s">
        <v>405</v>
      </c>
      <c r="G164" s="5"/>
      <c r="H164" s="3" t="s">
        <v>95</v>
      </c>
      <c r="I164" s="3" t="s">
        <v>599</v>
      </c>
      <c r="J164" s="4" t="s">
        <v>21</v>
      </c>
      <c r="K164" s="6" t="s">
        <v>22</v>
      </c>
      <c r="L164" s="3"/>
      <c r="M164" s="4" t="s">
        <v>23</v>
      </c>
    </row>
    <row r="165" customFormat="false" ht="15" hidden="false" customHeight="false" outlineLevel="0" collapsed="false">
      <c r="A165" s="7" t="s">
        <v>600</v>
      </c>
      <c r="B165" s="7" t="s">
        <v>556</v>
      </c>
      <c r="C165" s="8" t="s">
        <v>25</v>
      </c>
      <c r="D165" s="7" t="s">
        <v>601</v>
      </c>
      <c r="E165" s="7" t="s">
        <v>602</v>
      </c>
      <c r="F165" s="7" t="s">
        <v>405</v>
      </c>
      <c r="G165" s="9"/>
      <c r="H165" s="7" t="s">
        <v>100</v>
      </c>
      <c r="I165" s="7" t="s">
        <v>599</v>
      </c>
      <c r="J165" s="8" t="s">
        <v>21</v>
      </c>
      <c r="K165" s="6" t="s">
        <v>22</v>
      </c>
      <c r="L165" s="7"/>
      <c r="M165" s="8" t="s">
        <v>23</v>
      </c>
    </row>
    <row r="166" customFormat="false" ht="15" hidden="false" customHeight="false" outlineLevel="0" collapsed="false">
      <c r="A166" s="3" t="s">
        <v>603</v>
      </c>
      <c r="B166" s="3" t="s">
        <v>556</v>
      </c>
      <c r="C166" s="4" t="s">
        <v>31</v>
      </c>
      <c r="D166" s="3" t="s">
        <v>604</v>
      </c>
      <c r="E166" s="3" t="s">
        <v>605</v>
      </c>
      <c r="F166" s="3" t="s">
        <v>405</v>
      </c>
      <c r="G166" s="5"/>
      <c r="H166" s="3" t="s">
        <v>104</v>
      </c>
      <c r="I166" s="3" t="s">
        <v>599</v>
      </c>
      <c r="J166" s="4" t="s">
        <v>21</v>
      </c>
      <c r="K166" s="6" t="s">
        <v>22</v>
      </c>
      <c r="L166" s="3"/>
      <c r="M166" s="4" t="s">
        <v>23</v>
      </c>
    </row>
    <row r="167" customFormat="false" ht="15" hidden="false" customHeight="false" outlineLevel="0" collapsed="false">
      <c r="A167" s="7" t="s">
        <v>606</v>
      </c>
      <c r="B167" s="7" t="s">
        <v>556</v>
      </c>
      <c r="C167" s="8" t="s">
        <v>15</v>
      </c>
      <c r="D167" s="7" t="s">
        <v>607</v>
      </c>
      <c r="E167" s="7" t="s">
        <v>608</v>
      </c>
      <c r="F167" s="7" t="s">
        <v>18</v>
      </c>
      <c r="G167" s="10" t="n">
        <v>2026</v>
      </c>
      <c r="H167" s="7" t="s">
        <v>609</v>
      </c>
      <c r="I167" s="7" t="s">
        <v>610</v>
      </c>
      <c r="J167" s="8" t="s">
        <v>21</v>
      </c>
      <c r="K167" s="6" t="s">
        <v>22</v>
      </c>
      <c r="L167" s="7"/>
      <c r="M167" s="8" t="s">
        <v>23</v>
      </c>
    </row>
    <row r="168" customFormat="false" ht="15" hidden="false" customHeight="false" outlineLevel="0" collapsed="false">
      <c r="A168" s="3" t="s">
        <v>611</v>
      </c>
      <c r="B168" s="3" t="s">
        <v>556</v>
      </c>
      <c r="C168" s="4" t="s">
        <v>25</v>
      </c>
      <c r="D168" s="3" t="s">
        <v>612</v>
      </c>
      <c r="E168" s="3" t="s">
        <v>613</v>
      </c>
      <c r="F168" s="3" t="s">
        <v>28</v>
      </c>
      <c r="G168" s="11" t="n">
        <v>2026</v>
      </c>
      <c r="H168" s="3" t="s">
        <v>614</v>
      </c>
      <c r="I168" s="3" t="s">
        <v>610</v>
      </c>
      <c r="J168" s="4" t="s">
        <v>21</v>
      </c>
      <c r="K168" s="6" t="s">
        <v>22</v>
      </c>
      <c r="L168" s="3"/>
      <c r="M168" s="4" t="s">
        <v>23</v>
      </c>
    </row>
    <row r="169" customFormat="false" ht="15" hidden="false" customHeight="false" outlineLevel="0" collapsed="false">
      <c r="A169" s="7" t="s">
        <v>615</v>
      </c>
      <c r="B169" s="7" t="s">
        <v>556</v>
      </c>
      <c r="C169" s="8" t="s">
        <v>31</v>
      </c>
      <c r="D169" s="7" t="s">
        <v>616</v>
      </c>
      <c r="E169" s="7" t="s">
        <v>617</v>
      </c>
      <c r="F169" s="7" t="s">
        <v>34</v>
      </c>
      <c r="G169" s="10" t="n">
        <v>2026</v>
      </c>
      <c r="H169" s="7" t="s">
        <v>618</v>
      </c>
      <c r="I169" s="7" t="s">
        <v>610</v>
      </c>
      <c r="J169" s="8" t="s">
        <v>21</v>
      </c>
      <c r="K169" s="6" t="s">
        <v>22</v>
      </c>
      <c r="L169" s="7"/>
      <c r="M169" s="8" t="s">
        <v>23</v>
      </c>
    </row>
    <row r="170" customFormat="false" ht="15" hidden="false" customHeight="false" outlineLevel="0" collapsed="false">
      <c r="A170" s="3" t="s">
        <v>619</v>
      </c>
      <c r="B170" s="3" t="s">
        <v>620</v>
      </c>
      <c r="C170" s="4" t="s">
        <v>15</v>
      </c>
      <c r="D170" s="3" t="s">
        <v>621</v>
      </c>
      <c r="E170" s="3" t="s">
        <v>622</v>
      </c>
      <c r="F170" s="3" t="s">
        <v>623</v>
      </c>
      <c r="G170" s="11" t="n">
        <v>2026</v>
      </c>
      <c r="H170" s="3" t="s">
        <v>624</v>
      </c>
      <c r="I170" s="3" t="s">
        <v>625</v>
      </c>
      <c r="J170" s="4" t="s">
        <v>21</v>
      </c>
      <c r="K170" s="6" t="s">
        <v>22</v>
      </c>
      <c r="L170" s="3"/>
      <c r="M170" s="4" t="s">
        <v>23</v>
      </c>
    </row>
    <row r="171" customFormat="false" ht="15" hidden="false" customHeight="false" outlineLevel="0" collapsed="false">
      <c r="A171" s="7" t="s">
        <v>626</v>
      </c>
      <c r="B171" s="7" t="s">
        <v>620</v>
      </c>
      <c r="C171" s="8" t="s">
        <v>25</v>
      </c>
      <c r="D171" s="7" t="s">
        <v>627</v>
      </c>
      <c r="E171" s="7" t="s">
        <v>628</v>
      </c>
      <c r="F171" s="7" t="s">
        <v>623</v>
      </c>
      <c r="G171" s="10" t="n">
        <v>2026</v>
      </c>
      <c r="H171" s="7" t="s">
        <v>629</v>
      </c>
      <c r="I171" s="7" t="s">
        <v>625</v>
      </c>
      <c r="J171" s="8" t="s">
        <v>21</v>
      </c>
      <c r="K171" s="6" t="s">
        <v>22</v>
      </c>
      <c r="L171" s="7"/>
      <c r="M171" s="8" t="s">
        <v>23</v>
      </c>
    </row>
    <row r="172" customFormat="false" ht="15" hidden="false" customHeight="false" outlineLevel="0" collapsed="false">
      <c r="A172" s="3" t="s">
        <v>630</v>
      </c>
      <c r="B172" s="3" t="s">
        <v>620</v>
      </c>
      <c r="C172" s="4" t="s">
        <v>31</v>
      </c>
      <c r="D172" s="3" t="s">
        <v>631</v>
      </c>
      <c r="E172" s="3" t="s">
        <v>632</v>
      </c>
      <c r="F172" s="3" t="s">
        <v>623</v>
      </c>
      <c r="G172" s="11" t="n">
        <v>2026</v>
      </c>
      <c r="H172" s="3" t="s">
        <v>633</v>
      </c>
      <c r="I172" s="3" t="s">
        <v>625</v>
      </c>
      <c r="J172" s="4" t="s">
        <v>21</v>
      </c>
      <c r="K172" s="6" t="s">
        <v>22</v>
      </c>
      <c r="L172" s="3"/>
      <c r="M172" s="4" t="s">
        <v>23</v>
      </c>
    </row>
    <row r="173" customFormat="false" ht="15" hidden="false" customHeight="false" outlineLevel="0" collapsed="false">
      <c r="A173" s="7" t="s">
        <v>634</v>
      </c>
      <c r="B173" s="7" t="s">
        <v>620</v>
      </c>
      <c r="C173" s="8" t="s">
        <v>15</v>
      </c>
      <c r="D173" s="7" t="s">
        <v>635</v>
      </c>
      <c r="E173" s="7" t="s">
        <v>636</v>
      </c>
      <c r="F173" s="7" t="s">
        <v>623</v>
      </c>
      <c r="G173" s="10" t="n">
        <v>2026</v>
      </c>
      <c r="H173" s="7" t="s">
        <v>624</v>
      </c>
      <c r="I173" s="7" t="s">
        <v>637</v>
      </c>
      <c r="J173" s="8" t="s">
        <v>21</v>
      </c>
      <c r="K173" s="6" t="s">
        <v>22</v>
      </c>
      <c r="L173" s="7"/>
      <c r="M173" s="8" t="s">
        <v>23</v>
      </c>
    </row>
    <row r="174" customFormat="false" ht="15" hidden="false" customHeight="false" outlineLevel="0" collapsed="false">
      <c r="A174" s="3" t="s">
        <v>638</v>
      </c>
      <c r="B174" s="3" t="s">
        <v>620</v>
      </c>
      <c r="C174" s="4" t="s">
        <v>25</v>
      </c>
      <c r="D174" s="3" t="s">
        <v>639</v>
      </c>
      <c r="E174" s="3" t="s">
        <v>640</v>
      </c>
      <c r="F174" s="3" t="s">
        <v>623</v>
      </c>
      <c r="G174" s="11" t="n">
        <v>2026</v>
      </c>
      <c r="H174" s="3" t="s">
        <v>629</v>
      </c>
      <c r="I174" s="3" t="s">
        <v>637</v>
      </c>
      <c r="J174" s="4" t="s">
        <v>21</v>
      </c>
      <c r="K174" s="6" t="s">
        <v>22</v>
      </c>
      <c r="L174" s="3"/>
      <c r="M174" s="4" t="s">
        <v>23</v>
      </c>
    </row>
    <row r="175" customFormat="false" ht="15" hidden="false" customHeight="false" outlineLevel="0" collapsed="false">
      <c r="A175" s="7" t="s">
        <v>641</v>
      </c>
      <c r="B175" s="7" t="s">
        <v>620</v>
      </c>
      <c r="C175" s="8" t="s">
        <v>31</v>
      </c>
      <c r="D175" s="7" t="s">
        <v>642</v>
      </c>
      <c r="E175" s="7" t="s">
        <v>643</v>
      </c>
      <c r="F175" s="7" t="s">
        <v>623</v>
      </c>
      <c r="G175" s="10" t="n">
        <v>2026</v>
      </c>
      <c r="H175" s="7" t="s">
        <v>633</v>
      </c>
      <c r="I175" s="7" t="s">
        <v>637</v>
      </c>
      <c r="J175" s="8" t="s">
        <v>21</v>
      </c>
      <c r="K175" s="6" t="s">
        <v>22</v>
      </c>
      <c r="L175" s="7"/>
      <c r="M175" s="8" t="s">
        <v>23</v>
      </c>
    </row>
    <row r="176" customFormat="false" ht="15" hidden="false" customHeight="false" outlineLevel="0" collapsed="false">
      <c r="A176" s="3" t="s">
        <v>644</v>
      </c>
      <c r="B176" s="3" t="s">
        <v>620</v>
      </c>
      <c r="C176" s="4" t="s">
        <v>15</v>
      </c>
      <c r="D176" s="3" t="s">
        <v>645</v>
      </c>
      <c r="E176" s="3" t="s">
        <v>646</v>
      </c>
      <c r="F176" s="3" t="s">
        <v>623</v>
      </c>
      <c r="G176" s="11" t="n">
        <v>2026</v>
      </c>
      <c r="H176" s="3" t="s">
        <v>624</v>
      </c>
      <c r="I176" s="3" t="s">
        <v>647</v>
      </c>
      <c r="J176" s="4" t="s">
        <v>21</v>
      </c>
      <c r="K176" s="6" t="s">
        <v>22</v>
      </c>
      <c r="L176" s="3"/>
      <c r="M176" s="4" t="s">
        <v>23</v>
      </c>
    </row>
    <row r="177" customFormat="false" ht="15" hidden="false" customHeight="false" outlineLevel="0" collapsed="false">
      <c r="A177" s="7" t="s">
        <v>648</v>
      </c>
      <c r="B177" s="7" t="s">
        <v>620</v>
      </c>
      <c r="C177" s="8" t="s">
        <v>25</v>
      </c>
      <c r="D177" s="7" t="s">
        <v>649</v>
      </c>
      <c r="E177" s="7" t="s">
        <v>650</v>
      </c>
      <c r="F177" s="7" t="s">
        <v>623</v>
      </c>
      <c r="G177" s="10" t="n">
        <v>2026</v>
      </c>
      <c r="H177" s="7" t="s">
        <v>629</v>
      </c>
      <c r="I177" s="7" t="s">
        <v>647</v>
      </c>
      <c r="J177" s="8" t="s">
        <v>21</v>
      </c>
      <c r="K177" s="6" t="s">
        <v>22</v>
      </c>
      <c r="L177" s="7"/>
      <c r="M177" s="8" t="s">
        <v>23</v>
      </c>
    </row>
    <row r="178" customFormat="false" ht="15" hidden="false" customHeight="false" outlineLevel="0" collapsed="false">
      <c r="A178" s="3" t="s">
        <v>651</v>
      </c>
      <c r="B178" s="3" t="s">
        <v>620</v>
      </c>
      <c r="C178" s="4" t="s">
        <v>31</v>
      </c>
      <c r="D178" s="3" t="s">
        <v>652</v>
      </c>
      <c r="E178" s="3" t="s">
        <v>653</v>
      </c>
      <c r="F178" s="3" t="s">
        <v>623</v>
      </c>
      <c r="G178" s="11" t="n">
        <v>2026</v>
      </c>
      <c r="H178" s="3" t="s">
        <v>633</v>
      </c>
      <c r="I178" s="3" t="s">
        <v>647</v>
      </c>
      <c r="J178" s="4" t="s">
        <v>21</v>
      </c>
      <c r="K178" s="6" t="s">
        <v>22</v>
      </c>
      <c r="L178" s="3"/>
      <c r="M178" s="4" t="s">
        <v>23</v>
      </c>
    </row>
    <row r="179" customFormat="false" ht="15" hidden="false" customHeight="false" outlineLevel="0" collapsed="false">
      <c r="A179" s="7" t="s">
        <v>654</v>
      </c>
      <c r="B179" s="7" t="s">
        <v>620</v>
      </c>
      <c r="C179" s="8" t="s">
        <v>15</v>
      </c>
      <c r="D179" s="7" t="s">
        <v>655</v>
      </c>
      <c r="E179" s="7" t="s">
        <v>656</v>
      </c>
      <c r="F179" s="7" t="s">
        <v>623</v>
      </c>
      <c r="G179" s="10" t="n">
        <v>2026</v>
      </c>
      <c r="H179" s="7" t="s">
        <v>657</v>
      </c>
      <c r="I179" s="7" t="s">
        <v>658</v>
      </c>
      <c r="J179" s="8" t="s">
        <v>21</v>
      </c>
      <c r="K179" s="13" t="s">
        <v>659</v>
      </c>
      <c r="L179" s="7"/>
      <c r="M179" s="8" t="s">
        <v>23</v>
      </c>
    </row>
    <row r="180" customFormat="false" ht="15" hidden="false" customHeight="false" outlineLevel="0" collapsed="false">
      <c r="A180" s="3" t="s">
        <v>660</v>
      </c>
      <c r="B180" s="3" t="s">
        <v>620</v>
      </c>
      <c r="C180" s="4" t="s">
        <v>25</v>
      </c>
      <c r="D180" s="3" t="s">
        <v>661</v>
      </c>
      <c r="E180" s="3" t="s">
        <v>662</v>
      </c>
      <c r="F180" s="3" t="s">
        <v>623</v>
      </c>
      <c r="G180" s="11" t="n">
        <v>2026</v>
      </c>
      <c r="H180" s="3" t="s">
        <v>663</v>
      </c>
      <c r="I180" s="3" t="s">
        <v>658</v>
      </c>
      <c r="J180" s="4" t="s">
        <v>21</v>
      </c>
      <c r="K180" s="13" t="s">
        <v>659</v>
      </c>
      <c r="L180" s="3"/>
      <c r="M180" s="4" t="s">
        <v>23</v>
      </c>
    </row>
    <row r="181" customFormat="false" ht="15" hidden="false" customHeight="false" outlineLevel="0" collapsed="false">
      <c r="A181" s="7" t="s">
        <v>664</v>
      </c>
      <c r="B181" s="7" t="s">
        <v>620</v>
      </c>
      <c r="C181" s="8" t="s">
        <v>31</v>
      </c>
      <c r="D181" s="7" t="s">
        <v>665</v>
      </c>
      <c r="E181" s="7" t="s">
        <v>666</v>
      </c>
      <c r="F181" s="7" t="s">
        <v>623</v>
      </c>
      <c r="G181" s="10" t="n">
        <v>2026</v>
      </c>
      <c r="H181" s="7" t="s">
        <v>667</v>
      </c>
      <c r="I181" s="7" t="s">
        <v>658</v>
      </c>
      <c r="J181" s="8" t="s">
        <v>21</v>
      </c>
      <c r="K181" s="13" t="s">
        <v>659</v>
      </c>
      <c r="L181" s="7"/>
      <c r="M181" s="8" t="s">
        <v>23</v>
      </c>
    </row>
    <row r="182" customFormat="false" ht="15" hidden="false" customHeight="false" outlineLevel="0" collapsed="false">
      <c r="A182" s="3" t="s">
        <v>668</v>
      </c>
      <c r="B182" s="3" t="s">
        <v>620</v>
      </c>
      <c r="C182" s="4" t="s">
        <v>15</v>
      </c>
      <c r="D182" s="3" t="s">
        <v>669</v>
      </c>
      <c r="E182" s="3" t="s">
        <v>670</v>
      </c>
      <c r="F182" s="3" t="s">
        <v>623</v>
      </c>
      <c r="G182" s="11" t="n">
        <v>2026</v>
      </c>
      <c r="H182" s="3" t="s">
        <v>657</v>
      </c>
      <c r="I182" s="3" t="s">
        <v>671</v>
      </c>
      <c r="J182" s="4" t="s">
        <v>21</v>
      </c>
      <c r="K182" s="13" t="s">
        <v>659</v>
      </c>
      <c r="L182" s="3" t="s">
        <v>18</v>
      </c>
      <c r="M182" s="4" t="s">
        <v>23</v>
      </c>
    </row>
    <row r="183" customFormat="false" ht="15" hidden="false" customHeight="false" outlineLevel="0" collapsed="false">
      <c r="A183" s="7" t="s">
        <v>672</v>
      </c>
      <c r="B183" s="7" t="s">
        <v>620</v>
      </c>
      <c r="C183" s="8" t="s">
        <v>25</v>
      </c>
      <c r="D183" s="7" t="s">
        <v>673</v>
      </c>
      <c r="E183" s="7" t="s">
        <v>674</v>
      </c>
      <c r="F183" s="7" t="s">
        <v>623</v>
      </c>
      <c r="G183" s="10" t="n">
        <v>2026</v>
      </c>
      <c r="H183" s="7" t="s">
        <v>663</v>
      </c>
      <c r="I183" s="7" t="s">
        <v>671</v>
      </c>
      <c r="J183" s="8" t="s">
        <v>21</v>
      </c>
      <c r="K183" s="13" t="s">
        <v>659</v>
      </c>
      <c r="L183" s="7" t="s">
        <v>28</v>
      </c>
      <c r="M183" s="8" t="s">
        <v>23</v>
      </c>
    </row>
    <row r="184" customFormat="false" ht="15" hidden="false" customHeight="false" outlineLevel="0" collapsed="false">
      <c r="A184" s="3" t="s">
        <v>675</v>
      </c>
      <c r="B184" s="3" t="s">
        <v>620</v>
      </c>
      <c r="C184" s="4" t="s">
        <v>31</v>
      </c>
      <c r="D184" s="3" t="s">
        <v>676</v>
      </c>
      <c r="E184" s="3" t="s">
        <v>677</v>
      </c>
      <c r="F184" s="3" t="s">
        <v>623</v>
      </c>
      <c r="G184" s="11" t="n">
        <v>2026</v>
      </c>
      <c r="H184" s="3" t="s">
        <v>667</v>
      </c>
      <c r="I184" s="3" t="s">
        <v>671</v>
      </c>
      <c r="J184" s="4" t="s">
        <v>21</v>
      </c>
      <c r="K184" s="13" t="s">
        <v>659</v>
      </c>
      <c r="L184" s="3" t="s">
        <v>34</v>
      </c>
      <c r="M184" s="4" t="s">
        <v>23</v>
      </c>
    </row>
    <row r="185" customFormat="false" ht="15" hidden="false" customHeight="false" outlineLevel="0" collapsed="false">
      <c r="A185" s="7" t="s">
        <v>678</v>
      </c>
      <c r="B185" s="7" t="s">
        <v>620</v>
      </c>
      <c r="C185" s="8" t="s">
        <v>15</v>
      </c>
      <c r="D185" s="7" t="s">
        <v>679</v>
      </c>
      <c r="E185" s="7" t="s">
        <v>680</v>
      </c>
      <c r="F185" s="7" t="s">
        <v>681</v>
      </c>
      <c r="G185" s="10" t="n">
        <v>2026</v>
      </c>
      <c r="H185" s="7" t="s">
        <v>682</v>
      </c>
      <c r="I185" s="7" t="s">
        <v>683</v>
      </c>
      <c r="J185" s="8" t="s">
        <v>21</v>
      </c>
      <c r="K185" s="6" t="s">
        <v>22</v>
      </c>
      <c r="L185" s="7"/>
      <c r="M185" s="8" t="s">
        <v>23</v>
      </c>
    </row>
    <row r="186" customFormat="false" ht="15" hidden="false" customHeight="false" outlineLevel="0" collapsed="false">
      <c r="A186" s="3" t="s">
        <v>684</v>
      </c>
      <c r="B186" s="3" t="s">
        <v>620</v>
      </c>
      <c r="C186" s="4" t="s">
        <v>25</v>
      </c>
      <c r="D186" s="3" t="s">
        <v>685</v>
      </c>
      <c r="E186" s="3" t="s">
        <v>686</v>
      </c>
      <c r="F186" s="3" t="s">
        <v>687</v>
      </c>
      <c r="G186" s="11" t="n">
        <v>2026</v>
      </c>
      <c r="H186" s="3" t="s">
        <v>688</v>
      </c>
      <c r="I186" s="3" t="s">
        <v>683</v>
      </c>
      <c r="J186" s="4" t="s">
        <v>21</v>
      </c>
      <c r="K186" s="6" t="s">
        <v>22</v>
      </c>
      <c r="L186" s="3"/>
      <c r="M186" s="4" t="s">
        <v>23</v>
      </c>
    </row>
    <row r="187" customFormat="false" ht="15" hidden="false" customHeight="false" outlineLevel="0" collapsed="false">
      <c r="A187" s="7" t="s">
        <v>689</v>
      </c>
      <c r="B187" s="7" t="s">
        <v>620</v>
      </c>
      <c r="C187" s="8" t="s">
        <v>31</v>
      </c>
      <c r="D187" s="7" t="s">
        <v>690</v>
      </c>
      <c r="E187" s="7" t="s">
        <v>691</v>
      </c>
      <c r="F187" s="7" t="s">
        <v>692</v>
      </c>
      <c r="G187" s="10" t="n">
        <v>2026</v>
      </c>
      <c r="H187" s="7" t="s">
        <v>693</v>
      </c>
      <c r="I187" s="7" t="s">
        <v>683</v>
      </c>
      <c r="J187" s="8" t="s">
        <v>21</v>
      </c>
      <c r="K187" s="6" t="s">
        <v>22</v>
      </c>
      <c r="L187" s="7"/>
      <c r="M187" s="8" t="s">
        <v>23</v>
      </c>
    </row>
    <row r="188" customFormat="false" ht="15" hidden="false" customHeight="false" outlineLevel="0" collapsed="false">
      <c r="A188" s="3" t="s">
        <v>694</v>
      </c>
      <c r="B188" s="3" t="s">
        <v>695</v>
      </c>
      <c r="C188" s="4" t="s">
        <v>15</v>
      </c>
      <c r="D188" s="3" t="s">
        <v>696</v>
      </c>
      <c r="E188" s="3" t="s">
        <v>697</v>
      </c>
      <c r="F188" s="3" t="s">
        <v>698</v>
      </c>
      <c r="G188" s="5"/>
      <c r="H188" s="3" t="s">
        <v>95</v>
      </c>
      <c r="I188" s="3" t="s">
        <v>699</v>
      </c>
      <c r="J188" s="4" t="s">
        <v>21</v>
      </c>
      <c r="K188" s="6" t="s">
        <v>22</v>
      </c>
      <c r="L188" s="3"/>
      <c r="M188" s="4" t="s">
        <v>23</v>
      </c>
    </row>
    <row r="189" customFormat="false" ht="15" hidden="false" customHeight="false" outlineLevel="0" collapsed="false">
      <c r="A189" s="7" t="s">
        <v>700</v>
      </c>
      <c r="B189" s="7" t="s">
        <v>695</v>
      </c>
      <c r="C189" s="8" t="s">
        <v>25</v>
      </c>
      <c r="D189" s="7" t="s">
        <v>701</v>
      </c>
      <c r="E189" s="7" t="s">
        <v>702</v>
      </c>
      <c r="F189" s="7" t="s">
        <v>698</v>
      </c>
      <c r="G189" s="9"/>
      <c r="H189" s="7" t="s">
        <v>100</v>
      </c>
      <c r="I189" s="7" t="s">
        <v>699</v>
      </c>
      <c r="J189" s="8" t="s">
        <v>21</v>
      </c>
      <c r="K189" s="6" t="s">
        <v>22</v>
      </c>
      <c r="L189" s="7"/>
      <c r="M189" s="8" t="s">
        <v>23</v>
      </c>
    </row>
    <row r="190" customFormat="false" ht="15" hidden="false" customHeight="false" outlineLevel="0" collapsed="false">
      <c r="A190" s="3" t="s">
        <v>703</v>
      </c>
      <c r="B190" s="3" t="s">
        <v>695</v>
      </c>
      <c r="C190" s="4" t="s">
        <v>31</v>
      </c>
      <c r="D190" s="3" t="s">
        <v>704</v>
      </c>
      <c r="E190" s="3" t="s">
        <v>705</v>
      </c>
      <c r="F190" s="3" t="s">
        <v>698</v>
      </c>
      <c r="G190" s="5"/>
      <c r="H190" s="3" t="s">
        <v>104</v>
      </c>
      <c r="I190" s="3" t="s">
        <v>699</v>
      </c>
      <c r="J190" s="4" t="s">
        <v>21</v>
      </c>
      <c r="K190" s="6" t="s">
        <v>22</v>
      </c>
      <c r="L190" s="3"/>
      <c r="M190" s="4" t="s">
        <v>23</v>
      </c>
    </row>
    <row r="191" customFormat="false" ht="15" hidden="false" customHeight="false" outlineLevel="0" collapsed="false">
      <c r="A191" s="7" t="s">
        <v>706</v>
      </c>
      <c r="B191" s="7" t="s">
        <v>695</v>
      </c>
      <c r="C191" s="8" t="s">
        <v>15</v>
      </c>
      <c r="D191" s="7" t="s">
        <v>707</v>
      </c>
      <c r="E191" s="7" t="s">
        <v>708</v>
      </c>
      <c r="F191" s="7" t="s">
        <v>709</v>
      </c>
      <c r="G191" s="10" t="n">
        <v>2026</v>
      </c>
      <c r="H191" s="7" t="s">
        <v>624</v>
      </c>
      <c r="I191" s="7" t="s">
        <v>710</v>
      </c>
      <c r="J191" s="8" t="s">
        <v>21</v>
      </c>
      <c r="K191" s="6" t="s">
        <v>22</v>
      </c>
      <c r="L191" s="7"/>
      <c r="M191" s="8" t="s">
        <v>23</v>
      </c>
    </row>
    <row r="192" customFormat="false" ht="15" hidden="false" customHeight="false" outlineLevel="0" collapsed="false">
      <c r="A192" s="3" t="s">
        <v>711</v>
      </c>
      <c r="B192" s="3" t="s">
        <v>695</v>
      </c>
      <c r="C192" s="4" t="s">
        <v>25</v>
      </c>
      <c r="D192" s="3" t="s">
        <v>712</v>
      </c>
      <c r="E192" s="3" t="s">
        <v>713</v>
      </c>
      <c r="F192" s="3" t="s">
        <v>709</v>
      </c>
      <c r="G192" s="11" t="n">
        <v>2026</v>
      </c>
      <c r="H192" s="3" t="s">
        <v>629</v>
      </c>
      <c r="I192" s="3" t="s">
        <v>710</v>
      </c>
      <c r="J192" s="4" t="s">
        <v>21</v>
      </c>
      <c r="K192" s="6" t="s">
        <v>22</v>
      </c>
      <c r="L192" s="3"/>
      <c r="M192" s="4" t="s">
        <v>23</v>
      </c>
    </row>
    <row r="193" customFormat="false" ht="15" hidden="false" customHeight="false" outlineLevel="0" collapsed="false">
      <c r="A193" s="7" t="s">
        <v>714</v>
      </c>
      <c r="B193" s="7" t="s">
        <v>695</v>
      </c>
      <c r="C193" s="8" t="s">
        <v>31</v>
      </c>
      <c r="D193" s="7" t="s">
        <v>715</v>
      </c>
      <c r="E193" s="7" t="s">
        <v>716</v>
      </c>
      <c r="F193" s="7" t="s">
        <v>709</v>
      </c>
      <c r="G193" s="10" t="n">
        <v>2026</v>
      </c>
      <c r="H193" s="7" t="s">
        <v>633</v>
      </c>
      <c r="I193" s="7" t="s">
        <v>710</v>
      </c>
      <c r="J193" s="8" t="s">
        <v>21</v>
      </c>
      <c r="K193" s="6" t="s">
        <v>22</v>
      </c>
      <c r="L193" s="7"/>
      <c r="M193" s="8" t="s">
        <v>23</v>
      </c>
    </row>
    <row r="194" customFormat="false" ht="15" hidden="false" customHeight="false" outlineLevel="0" collapsed="false">
      <c r="A194" s="3" t="s">
        <v>717</v>
      </c>
      <c r="B194" s="3" t="s">
        <v>695</v>
      </c>
      <c r="C194" s="4" t="s">
        <v>15</v>
      </c>
      <c r="D194" s="3" t="s">
        <v>718</v>
      </c>
      <c r="E194" s="3" t="s">
        <v>719</v>
      </c>
      <c r="F194" s="3" t="s">
        <v>709</v>
      </c>
      <c r="G194" s="11" t="n">
        <v>2026</v>
      </c>
      <c r="H194" s="3" t="s">
        <v>624</v>
      </c>
      <c r="I194" s="3" t="s">
        <v>720</v>
      </c>
      <c r="J194" s="4" t="s">
        <v>21</v>
      </c>
      <c r="K194" s="6" t="s">
        <v>22</v>
      </c>
      <c r="L194" s="3"/>
      <c r="M194" s="4" t="s">
        <v>23</v>
      </c>
    </row>
    <row r="195" customFormat="false" ht="15" hidden="false" customHeight="false" outlineLevel="0" collapsed="false">
      <c r="A195" s="7" t="s">
        <v>721</v>
      </c>
      <c r="B195" s="7" t="s">
        <v>695</v>
      </c>
      <c r="C195" s="8" t="s">
        <v>25</v>
      </c>
      <c r="D195" s="7" t="s">
        <v>722</v>
      </c>
      <c r="E195" s="7" t="s">
        <v>723</v>
      </c>
      <c r="F195" s="7" t="s">
        <v>709</v>
      </c>
      <c r="G195" s="10" t="n">
        <v>2026</v>
      </c>
      <c r="H195" s="7" t="s">
        <v>629</v>
      </c>
      <c r="I195" s="7" t="s">
        <v>720</v>
      </c>
      <c r="J195" s="8" t="s">
        <v>21</v>
      </c>
      <c r="K195" s="6" t="s">
        <v>22</v>
      </c>
      <c r="L195" s="7"/>
      <c r="M195" s="8" t="s">
        <v>23</v>
      </c>
    </row>
    <row r="196" customFormat="false" ht="15" hidden="false" customHeight="false" outlineLevel="0" collapsed="false">
      <c r="A196" s="3" t="s">
        <v>724</v>
      </c>
      <c r="B196" s="3" t="s">
        <v>695</v>
      </c>
      <c r="C196" s="4" t="s">
        <v>31</v>
      </c>
      <c r="D196" s="3" t="s">
        <v>725</v>
      </c>
      <c r="E196" s="3" t="s">
        <v>726</v>
      </c>
      <c r="F196" s="3" t="s">
        <v>709</v>
      </c>
      <c r="G196" s="11" t="n">
        <v>2026</v>
      </c>
      <c r="H196" s="3" t="s">
        <v>633</v>
      </c>
      <c r="I196" s="3" t="s">
        <v>720</v>
      </c>
      <c r="J196" s="4" t="s">
        <v>21</v>
      </c>
      <c r="K196" s="6" t="s">
        <v>22</v>
      </c>
      <c r="L196" s="3"/>
      <c r="M196" s="4" t="s">
        <v>23</v>
      </c>
    </row>
    <row r="197" customFormat="false" ht="15" hidden="false" customHeight="false" outlineLevel="0" collapsed="false">
      <c r="A197" s="7" t="s">
        <v>727</v>
      </c>
      <c r="B197" s="7" t="s">
        <v>695</v>
      </c>
      <c r="C197" s="8" t="s">
        <v>15</v>
      </c>
      <c r="D197" s="7" t="s">
        <v>728</v>
      </c>
      <c r="E197" s="7" t="s">
        <v>729</v>
      </c>
      <c r="F197" s="7" t="s">
        <v>709</v>
      </c>
      <c r="G197" s="10" t="n">
        <v>2026</v>
      </c>
      <c r="H197" s="7" t="s">
        <v>624</v>
      </c>
      <c r="I197" s="7" t="s">
        <v>730</v>
      </c>
      <c r="J197" s="8" t="s">
        <v>21</v>
      </c>
      <c r="K197" s="6" t="s">
        <v>22</v>
      </c>
      <c r="L197" s="7"/>
      <c r="M197" s="8" t="s">
        <v>23</v>
      </c>
    </row>
    <row r="198" customFormat="false" ht="15" hidden="false" customHeight="false" outlineLevel="0" collapsed="false">
      <c r="A198" s="3" t="s">
        <v>731</v>
      </c>
      <c r="B198" s="3" t="s">
        <v>695</v>
      </c>
      <c r="C198" s="4" t="s">
        <v>25</v>
      </c>
      <c r="D198" s="3" t="s">
        <v>732</v>
      </c>
      <c r="E198" s="3" t="s">
        <v>733</v>
      </c>
      <c r="F198" s="3" t="s">
        <v>709</v>
      </c>
      <c r="G198" s="11" t="n">
        <v>2026</v>
      </c>
      <c r="H198" s="3" t="s">
        <v>629</v>
      </c>
      <c r="I198" s="3" t="s">
        <v>730</v>
      </c>
      <c r="J198" s="4" t="s">
        <v>21</v>
      </c>
      <c r="K198" s="6" t="s">
        <v>22</v>
      </c>
      <c r="L198" s="3"/>
      <c r="M198" s="4" t="s">
        <v>23</v>
      </c>
    </row>
    <row r="199" customFormat="false" ht="15" hidden="false" customHeight="false" outlineLevel="0" collapsed="false">
      <c r="A199" s="7" t="s">
        <v>734</v>
      </c>
      <c r="B199" s="7" t="s">
        <v>695</v>
      </c>
      <c r="C199" s="8" t="s">
        <v>31</v>
      </c>
      <c r="D199" s="7" t="s">
        <v>735</v>
      </c>
      <c r="E199" s="7" t="s">
        <v>736</v>
      </c>
      <c r="F199" s="7" t="s">
        <v>709</v>
      </c>
      <c r="G199" s="10" t="n">
        <v>2026</v>
      </c>
      <c r="H199" s="7" t="s">
        <v>633</v>
      </c>
      <c r="I199" s="7" t="s">
        <v>730</v>
      </c>
      <c r="J199" s="8" t="s">
        <v>21</v>
      </c>
      <c r="K199" s="6" t="s">
        <v>22</v>
      </c>
      <c r="L199" s="7"/>
      <c r="M199" s="8" t="s">
        <v>23</v>
      </c>
    </row>
    <row r="200" customFormat="false" ht="15" hidden="false" customHeight="false" outlineLevel="0" collapsed="false">
      <c r="A200" s="3" t="s">
        <v>737</v>
      </c>
      <c r="B200" s="3" t="s">
        <v>695</v>
      </c>
      <c r="C200" s="4" t="s">
        <v>15</v>
      </c>
      <c r="D200" s="3" t="s">
        <v>738</v>
      </c>
      <c r="E200" s="3" t="s">
        <v>739</v>
      </c>
      <c r="F200" s="3" t="s">
        <v>709</v>
      </c>
      <c r="G200" s="11" t="n">
        <v>2026</v>
      </c>
      <c r="H200" s="3" t="s">
        <v>624</v>
      </c>
      <c r="I200" s="3" t="s">
        <v>740</v>
      </c>
      <c r="J200" s="4" t="s">
        <v>21</v>
      </c>
      <c r="K200" s="6" t="s">
        <v>22</v>
      </c>
      <c r="L200" s="3"/>
      <c r="M200" s="4" t="s">
        <v>23</v>
      </c>
    </row>
    <row r="201" customFormat="false" ht="15" hidden="false" customHeight="false" outlineLevel="0" collapsed="false">
      <c r="A201" s="7" t="s">
        <v>741</v>
      </c>
      <c r="B201" s="7" t="s">
        <v>695</v>
      </c>
      <c r="C201" s="8" t="s">
        <v>25</v>
      </c>
      <c r="D201" s="7" t="s">
        <v>742</v>
      </c>
      <c r="E201" s="7" t="s">
        <v>743</v>
      </c>
      <c r="F201" s="7" t="s">
        <v>709</v>
      </c>
      <c r="G201" s="10" t="n">
        <v>2026</v>
      </c>
      <c r="H201" s="7" t="s">
        <v>629</v>
      </c>
      <c r="I201" s="7" t="s">
        <v>740</v>
      </c>
      <c r="J201" s="8" t="s">
        <v>21</v>
      </c>
      <c r="K201" s="6" t="s">
        <v>22</v>
      </c>
      <c r="L201" s="7"/>
      <c r="M201" s="8" t="s">
        <v>23</v>
      </c>
    </row>
    <row r="202" customFormat="false" ht="15" hidden="false" customHeight="false" outlineLevel="0" collapsed="false">
      <c r="A202" s="3" t="s">
        <v>744</v>
      </c>
      <c r="B202" s="3" t="s">
        <v>695</v>
      </c>
      <c r="C202" s="4" t="s">
        <v>31</v>
      </c>
      <c r="D202" s="3" t="s">
        <v>745</v>
      </c>
      <c r="E202" s="3" t="s">
        <v>746</v>
      </c>
      <c r="F202" s="3" t="s">
        <v>709</v>
      </c>
      <c r="G202" s="11" t="n">
        <v>2026</v>
      </c>
      <c r="H202" s="3" t="s">
        <v>633</v>
      </c>
      <c r="I202" s="3" t="s">
        <v>740</v>
      </c>
      <c r="J202" s="4" t="s">
        <v>21</v>
      </c>
      <c r="K202" s="6" t="s">
        <v>22</v>
      </c>
      <c r="L202" s="3"/>
      <c r="M202" s="4" t="s">
        <v>23</v>
      </c>
    </row>
    <row r="203" customFormat="false" ht="15" hidden="false" customHeight="false" outlineLevel="0" collapsed="false">
      <c r="A203" s="7" t="s">
        <v>747</v>
      </c>
      <c r="B203" s="7" t="s">
        <v>695</v>
      </c>
      <c r="C203" s="8" t="s">
        <v>15</v>
      </c>
      <c r="D203" s="7" t="s">
        <v>748</v>
      </c>
      <c r="E203" s="7" t="s">
        <v>749</v>
      </c>
      <c r="F203" s="7" t="s">
        <v>709</v>
      </c>
      <c r="G203" s="10" t="n">
        <v>2026</v>
      </c>
      <c r="H203" s="7" t="s">
        <v>624</v>
      </c>
      <c r="I203" s="7" t="s">
        <v>750</v>
      </c>
      <c r="J203" s="8" t="s">
        <v>21</v>
      </c>
      <c r="K203" s="6" t="s">
        <v>22</v>
      </c>
      <c r="L203" s="7"/>
      <c r="M203" s="8" t="s">
        <v>23</v>
      </c>
    </row>
    <row r="204" customFormat="false" ht="15" hidden="false" customHeight="false" outlineLevel="0" collapsed="false">
      <c r="A204" s="3" t="s">
        <v>751</v>
      </c>
      <c r="B204" s="3" t="s">
        <v>695</v>
      </c>
      <c r="C204" s="4" t="s">
        <v>25</v>
      </c>
      <c r="D204" s="3" t="s">
        <v>752</v>
      </c>
      <c r="E204" s="3" t="s">
        <v>753</v>
      </c>
      <c r="F204" s="3" t="s">
        <v>709</v>
      </c>
      <c r="G204" s="11" t="n">
        <v>2026</v>
      </c>
      <c r="H204" s="3" t="s">
        <v>629</v>
      </c>
      <c r="I204" s="3" t="s">
        <v>750</v>
      </c>
      <c r="J204" s="4" t="s">
        <v>21</v>
      </c>
      <c r="K204" s="6" t="s">
        <v>22</v>
      </c>
      <c r="L204" s="3"/>
      <c r="M204" s="4" t="s">
        <v>23</v>
      </c>
    </row>
    <row r="205" customFormat="false" ht="15" hidden="false" customHeight="false" outlineLevel="0" collapsed="false">
      <c r="A205" s="7" t="s">
        <v>754</v>
      </c>
      <c r="B205" s="7" t="s">
        <v>695</v>
      </c>
      <c r="C205" s="8" t="s">
        <v>31</v>
      </c>
      <c r="D205" s="7" t="s">
        <v>755</v>
      </c>
      <c r="E205" s="7" t="s">
        <v>756</v>
      </c>
      <c r="F205" s="7" t="s">
        <v>709</v>
      </c>
      <c r="G205" s="10" t="n">
        <v>2026</v>
      </c>
      <c r="H205" s="7" t="s">
        <v>633</v>
      </c>
      <c r="I205" s="7" t="s">
        <v>750</v>
      </c>
      <c r="J205" s="8" t="s">
        <v>21</v>
      </c>
      <c r="K205" s="6" t="s">
        <v>22</v>
      </c>
      <c r="L205" s="7"/>
      <c r="M205" s="8" t="s">
        <v>23</v>
      </c>
    </row>
    <row r="206" customFormat="false" ht="15" hidden="false" customHeight="false" outlineLevel="0" collapsed="false">
      <c r="A206" s="3" t="s">
        <v>757</v>
      </c>
      <c r="B206" s="3" t="s">
        <v>758</v>
      </c>
      <c r="C206" s="4" t="s">
        <v>15</v>
      </c>
      <c r="D206" s="3" t="s">
        <v>759</v>
      </c>
      <c r="E206" s="3" t="s">
        <v>760</v>
      </c>
      <c r="F206" s="3" t="s">
        <v>18</v>
      </c>
      <c r="G206" s="5"/>
      <c r="H206" s="3" t="s">
        <v>19</v>
      </c>
      <c r="I206" s="3" t="s">
        <v>761</v>
      </c>
      <c r="J206" s="4" t="s">
        <v>21</v>
      </c>
      <c r="K206" s="6" t="s">
        <v>22</v>
      </c>
      <c r="L206" s="3"/>
      <c r="M206" s="4" t="s">
        <v>23</v>
      </c>
    </row>
    <row r="207" customFormat="false" ht="15" hidden="false" customHeight="false" outlineLevel="0" collapsed="false">
      <c r="A207" s="7" t="s">
        <v>762</v>
      </c>
      <c r="B207" s="7" t="s">
        <v>758</v>
      </c>
      <c r="C207" s="8" t="s">
        <v>25</v>
      </c>
      <c r="D207" s="7" t="s">
        <v>763</v>
      </c>
      <c r="E207" s="7" t="s">
        <v>764</v>
      </c>
      <c r="F207" s="7" t="s">
        <v>28</v>
      </c>
      <c r="G207" s="9"/>
      <c r="H207" s="7" t="s">
        <v>29</v>
      </c>
      <c r="I207" s="7" t="s">
        <v>761</v>
      </c>
      <c r="J207" s="8" t="s">
        <v>21</v>
      </c>
      <c r="K207" s="6" t="s">
        <v>22</v>
      </c>
      <c r="L207" s="7"/>
      <c r="M207" s="8" t="s">
        <v>23</v>
      </c>
    </row>
    <row r="208" customFormat="false" ht="15" hidden="false" customHeight="false" outlineLevel="0" collapsed="false">
      <c r="A208" s="3" t="s">
        <v>765</v>
      </c>
      <c r="B208" s="3" t="s">
        <v>758</v>
      </c>
      <c r="C208" s="4" t="s">
        <v>31</v>
      </c>
      <c r="D208" s="3" t="s">
        <v>766</v>
      </c>
      <c r="E208" s="3" t="s">
        <v>767</v>
      </c>
      <c r="F208" s="3" t="s">
        <v>34</v>
      </c>
      <c r="G208" s="5"/>
      <c r="H208" s="3" t="s">
        <v>35</v>
      </c>
      <c r="I208" s="3" t="s">
        <v>761</v>
      </c>
      <c r="J208" s="4" t="s">
        <v>21</v>
      </c>
      <c r="K208" s="6" t="s">
        <v>22</v>
      </c>
      <c r="L208" s="3"/>
      <c r="M208" s="4" t="s">
        <v>23</v>
      </c>
    </row>
    <row r="209" customFormat="false" ht="15" hidden="false" customHeight="false" outlineLevel="0" collapsed="false">
      <c r="A209" s="7" t="s">
        <v>768</v>
      </c>
      <c r="B209" s="7" t="s">
        <v>758</v>
      </c>
      <c r="C209" s="8" t="s">
        <v>15</v>
      </c>
      <c r="D209" s="7" t="s">
        <v>769</v>
      </c>
      <c r="E209" s="7" t="s">
        <v>770</v>
      </c>
      <c r="F209" s="7" t="s">
        <v>18</v>
      </c>
      <c r="G209" s="9"/>
      <c r="H209" s="7" t="s">
        <v>19</v>
      </c>
      <c r="I209" s="7" t="s">
        <v>771</v>
      </c>
      <c r="J209" s="8" t="s">
        <v>21</v>
      </c>
      <c r="K209" s="6" t="s">
        <v>22</v>
      </c>
      <c r="L209" s="7"/>
      <c r="M209" s="8" t="s">
        <v>23</v>
      </c>
    </row>
    <row r="210" customFormat="false" ht="15" hidden="false" customHeight="false" outlineLevel="0" collapsed="false">
      <c r="A210" s="3" t="s">
        <v>772</v>
      </c>
      <c r="B210" s="3" t="s">
        <v>758</v>
      </c>
      <c r="C210" s="4" t="s">
        <v>25</v>
      </c>
      <c r="D210" s="3" t="s">
        <v>773</v>
      </c>
      <c r="E210" s="3" t="s">
        <v>774</v>
      </c>
      <c r="F210" s="3" t="s">
        <v>28</v>
      </c>
      <c r="G210" s="5"/>
      <c r="H210" s="3" t="s">
        <v>29</v>
      </c>
      <c r="I210" s="3" t="s">
        <v>771</v>
      </c>
      <c r="J210" s="4" t="s">
        <v>21</v>
      </c>
      <c r="K210" s="6" t="s">
        <v>22</v>
      </c>
      <c r="L210" s="3"/>
      <c r="M210" s="4" t="s">
        <v>23</v>
      </c>
    </row>
    <row r="211" customFormat="false" ht="15" hidden="false" customHeight="false" outlineLevel="0" collapsed="false">
      <c r="A211" s="7" t="s">
        <v>775</v>
      </c>
      <c r="B211" s="7" t="s">
        <v>758</v>
      </c>
      <c r="C211" s="8" t="s">
        <v>31</v>
      </c>
      <c r="D211" s="7" t="s">
        <v>776</v>
      </c>
      <c r="E211" s="7" t="s">
        <v>777</v>
      </c>
      <c r="F211" s="7" t="s">
        <v>34</v>
      </c>
      <c r="G211" s="9"/>
      <c r="H211" s="7" t="s">
        <v>35</v>
      </c>
      <c r="I211" s="7" t="s">
        <v>771</v>
      </c>
      <c r="J211" s="8" t="s">
        <v>21</v>
      </c>
      <c r="K211" s="6" t="s">
        <v>22</v>
      </c>
      <c r="L211" s="7"/>
      <c r="M211" s="8" t="s">
        <v>23</v>
      </c>
    </row>
    <row r="212" customFormat="false" ht="15" hidden="false" customHeight="false" outlineLevel="0" collapsed="false">
      <c r="A212" s="3" t="s">
        <v>778</v>
      </c>
      <c r="B212" s="3" t="s">
        <v>758</v>
      </c>
      <c r="C212" s="4" t="s">
        <v>15</v>
      </c>
      <c r="D212" s="3" t="s">
        <v>779</v>
      </c>
      <c r="E212" s="3" t="s">
        <v>780</v>
      </c>
      <c r="F212" s="3" t="s">
        <v>18</v>
      </c>
      <c r="G212" s="5"/>
      <c r="H212" s="3" t="s">
        <v>19</v>
      </c>
      <c r="I212" s="3" t="s">
        <v>781</v>
      </c>
      <c r="J212" s="4" t="s">
        <v>21</v>
      </c>
      <c r="K212" s="6" t="s">
        <v>22</v>
      </c>
      <c r="L212" s="3"/>
      <c r="M212" s="4" t="s">
        <v>23</v>
      </c>
    </row>
    <row r="213" customFormat="false" ht="15" hidden="false" customHeight="false" outlineLevel="0" collapsed="false">
      <c r="A213" s="7" t="s">
        <v>782</v>
      </c>
      <c r="B213" s="7" t="s">
        <v>758</v>
      </c>
      <c r="C213" s="8" t="s">
        <v>25</v>
      </c>
      <c r="D213" s="7" t="s">
        <v>783</v>
      </c>
      <c r="E213" s="7" t="s">
        <v>784</v>
      </c>
      <c r="F213" s="7" t="s">
        <v>28</v>
      </c>
      <c r="G213" s="9"/>
      <c r="H213" s="7" t="s">
        <v>29</v>
      </c>
      <c r="I213" s="7" t="s">
        <v>781</v>
      </c>
      <c r="J213" s="8" t="s">
        <v>21</v>
      </c>
      <c r="K213" s="6" t="s">
        <v>22</v>
      </c>
      <c r="L213" s="7"/>
      <c r="M213" s="8" t="s">
        <v>23</v>
      </c>
    </row>
    <row r="214" customFormat="false" ht="15" hidden="false" customHeight="false" outlineLevel="0" collapsed="false">
      <c r="A214" s="3" t="s">
        <v>785</v>
      </c>
      <c r="B214" s="3" t="s">
        <v>758</v>
      </c>
      <c r="C214" s="4" t="s">
        <v>31</v>
      </c>
      <c r="D214" s="3" t="s">
        <v>786</v>
      </c>
      <c r="E214" s="3" t="s">
        <v>787</v>
      </c>
      <c r="F214" s="3" t="s">
        <v>34</v>
      </c>
      <c r="G214" s="5"/>
      <c r="H214" s="3" t="s">
        <v>35</v>
      </c>
      <c r="I214" s="3" t="s">
        <v>781</v>
      </c>
      <c r="J214" s="4" t="s">
        <v>21</v>
      </c>
      <c r="K214" s="6" t="s">
        <v>22</v>
      </c>
      <c r="L214" s="3"/>
      <c r="M214" s="4" t="s">
        <v>23</v>
      </c>
    </row>
    <row r="215" customFormat="false" ht="15" hidden="false" customHeight="false" outlineLevel="0" collapsed="false">
      <c r="A215" s="7" t="s">
        <v>788</v>
      </c>
      <c r="B215" s="7" t="s">
        <v>758</v>
      </c>
      <c r="C215" s="8" t="s">
        <v>15</v>
      </c>
      <c r="D215" s="7" t="s">
        <v>789</v>
      </c>
      <c r="E215" s="7" t="s">
        <v>790</v>
      </c>
      <c r="F215" s="7" t="s">
        <v>18</v>
      </c>
      <c r="G215" s="9"/>
      <c r="H215" s="7" t="s">
        <v>791</v>
      </c>
      <c r="I215" s="7" t="s">
        <v>792</v>
      </c>
      <c r="J215" s="8" t="s">
        <v>21</v>
      </c>
      <c r="K215" s="12" t="s">
        <v>343</v>
      </c>
      <c r="L215" s="7"/>
      <c r="M215" s="8" t="s">
        <v>23</v>
      </c>
    </row>
    <row r="216" customFormat="false" ht="15" hidden="false" customHeight="false" outlineLevel="0" collapsed="false">
      <c r="A216" s="3" t="s">
        <v>793</v>
      </c>
      <c r="B216" s="3" t="s">
        <v>758</v>
      </c>
      <c r="C216" s="4" t="s">
        <v>25</v>
      </c>
      <c r="D216" s="3" t="s">
        <v>794</v>
      </c>
      <c r="E216" s="3" t="s">
        <v>795</v>
      </c>
      <c r="F216" s="3" t="s">
        <v>28</v>
      </c>
      <c r="G216" s="5"/>
      <c r="H216" s="3" t="s">
        <v>796</v>
      </c>
      <c r="I216" s="3" t="s">
        <v>792</v>
      </c>
      <c r="J216" s="4" t="s">
        <v>21</v>
      </c>
      <c r="K216" s="12" t="s">
        <v>343</v>
      </c>
      <c r="L216" s="3"/>
      <c r="M216" s="4" t="s">
        <v>23</v>
      </c>
    </row>
    <row r="217" customFormat="false" ht="15" hidden="false" customHeight="false" outlineLevel="0" collapsed="false">
      <c r="A217" s="7" t="s">
        <v>797</v>
      </c>
      <c r="B217" s="7" t="s">
        <v>758</v>
      </c>
      <c r="C217" s="8" t="s">
        <v>31</v>
      </c>
      <c r="D217" s="7" t="s">
        <v>798</v>
      </c>
      <c r="E217" s="7" t="s">
        <v>799</v>
      </c>
      <c r="F217" s="7" t="s">
        <v>34</v>
      </c>
      <c r="G217" s="9"/>
      <c r="H217" s="7" t="s">
        <v>800</v>
      </c>
      <c r="I217" s="7" t="s">
        <v>792</v>
      </c>
      <c r="J217" s="8" t="s">
        <v>21</v>
      </c>
      <c r="K217" s="12" t="s">
        <v>343</v>
      </c>
      <c r="L217" s="7"/>
      <c r="M217" s="8" t="s">
        <v>23</v>
      </c>
    </row>
    <row r="218" customFormat="false" ht="15" hidden="false" customHeight="false" outlineLevel="0" collapsed="false">
      <c r="A218" s="3" t="s">
        <v>801</v>
      </c>
      <c r="B218" s="3" t="s">
        <v>758</v>
      </c>
      <c r="C218" s="4" t="s">
        <v>15</v>
      </c>
      <c r="D218" s="3" t="s">
        <v>802</v>
      </c>
      <c r="E218" s="3" t="s">
        <v>803</v>
      </c>
      <c r="F218" s="3" t="s">
        <v>804</v>
      </c>
      <c r="G218" s="5"/>
      <c r="H218" s="3" t="s">
        <v>278</v>
      </c>
      <c r="I218" s="3" t="s">
        <v>805</v>
      </c>
      <c r="J218" s="4" t="s">
        <v>21</v>
      </c>
      <c r="K218" s="12" t="s">
        <v>343</v>
      </c>
      <c r="L218" s="3"/>
      <c r="M218" s="4" t="s">
        <v>23</v>
      </c>
    </row>
    <row r="219" customFormat="false" ht="15" hidden="false" customHeight="false" outlineLevel="0" collapsed="false">
      <c r="A219" s="7" t="s">
        <v>806</v>
      </c>
      <c r="B219" s="7" t="s">
        <v>758</v>
      </c>
      <c r="C219" s="8" t="s">
        <v>25</v>
      </c>
      <c r="D219" s="7" t="s">
        <v>807</v>
      </c>
      <c r="E219" s="7" t="s">
        <v>808</v>
      </c>
      <c r="F219" s="7" t="s">
        <v>804</v>
      </c>
      <c r="G219" s="9"/>
      <c r="H219" s="7" t="s">
        <v>283</v>
      </c>
      <c r="I219" s="7" t="s">
        <v>805</v>
      </c>
      <c r="J219" s="8" t="s">
        <v>21</v>
      </c>
      <c r="K219" s="12" t="s">
        <v>343</v>
      </c>
      <c r="L219" s="7"/>
      <c r="M219" s="8" t="s">
        <v>23</v>
      </c>
    </row>
    <row r="220" customFormat="false" ht="15" hidden="false" customHeight="false" outlineLevel="0" collapsed="false">
      <c r="A220" s="3" t="s">
        <v>809</v>
      </c>
      <c r="B220" s="3" t="s">
        <v>758</v>
      </c>
      <c r="C220" s="4" t="s">
        <v>31</v>
      </c>
      <c r="D220" s="3" t="s">
        <v>810</v>
      </c>
      <c r="E220" s="3" t="s">
        <v>811</v>
      </c>
      <c r="F220" s="3" t="s">
        <v>804</v>
      </c>
      <c r="G220" s="5"/>
      <c r="H220" s="3" t="s">
        <v>287</v>
      </c>
      <c r="I220" s="3" t="s">
        <v>805</v>
      </c>
      <c r="J220" s="4" t="s">
        <v>21</v>
      </c>
      <c r="K220" s="12" t="s">
        <v>343</v>
      </c>
      <c r="L220" s="3"/>
      <c r="M220" s="4" t="s">
        <v>23</v>
      </c>
    </row>
    <row r="221" customFormat="false" ht="15" hidden="false" customHeight="false" outlineLevel="0" collapsed="false">
      <c r="A221" s="7" t="s">
        <v>812</v>
      </c>
      <c r="B221" s="7" t="s">
        <v>758</v>
      </c>
      <c r="C221" s="8" t="s">
        <v>15</v>
      </c>
      <c r="D221" s="7" t="s">
        <v>813</v>
      </c>
      <c r="E221" s="7" t="s">
        <v>814</v>
      </c>
      <c r="F221" s="7" t="s">
        <v>804</v>
      </c>
      <c r="G221" s="9"/>
      <c r="H221" s="7" t="s">
        <v>278</v>
      </c>
      <c r="I221" s="7" t="s">
        <v>815</v>
      </c>
      <c r="J221" s="8" t="s">
        <v>21</v>
      </c>
      <c r="K221" s="12" t="s">
        <v>343</v>
      </c>
      <c r="L221" s="7"/>
      <c r="M221" s="8" t="s">
        <v>23</v>
      </c>
    </row>
    <row r="222" customFormat="false" ht="15" hidden="false" customHeight="false" outlineLevel="0" collapsed="false">
      <c r="A222" s="3" t="s">
        <v>816</v>
      </c>
      <c r="B222" s="3" t="s">
        <v>758</v>
      </c>
      <c r="C222" s="4" t="s">
        <v>25</v>
      </c>
      <c r="D222" s="3" t="s">
        <v>817</v>
      </c>
      <c r="E222" s="3" t="s">
        <v>818</v>
      </c>
      <c r="F222" s="3" t="s">
        <v>804</v>
      </c>
      <c r="G222" s="5"/>
      <c r="H222" s="3" t="s">
        <v>283</v>
      </c>
      <c r="I222" s="3" t="s">
        <v>815</v>
      </c>
      <c r="J222" s="4" t="s">
        <v>21</v>
      </c>
      <c r="K222" s="12" t="s">
        <v>343</v>
      </c>
      <c r="L222" s="3"/>
      <c r="M222" s="4" t="s">
        <v>23</v>
      </c>
    </row>
    <row r="223" customFormat="false" ht="15" hidden="false" customHeight="false" outlineLevel="0" collapsed="false">
      <c r="A223" s="7" t="s">
        <v>819</v>
      </c>
      <c r="B223" s="7" t="s">
        <v>758</v>
      </c>
      <c r="C223" s="8" t="s">
        <v>31</v>
      </c>
      <c r="D223" s="7" t="s">
        <v>820</v>
      </c>
      <c r="E223" s="7" t="s">
        <v>821</v>
      </c>
      <c r="F223" s="7" t="s">
        <v>804</v>
      </c>
      <c r="G223" s="9"/>
      <c r="H223" s="7" t="s">
        <v>287</v>
      </c>
      <c r="I223" s="7" t="s">
        <v>815</v>
      </c>
      <c r="J223" s="8" t="s">
        <v>21</v>
      </c>
      <c r="K223" s="12" t="s">
        <v>343</v>
      </c>
      <c r="L223" s="7"/>
      <c r="M223" s="8" t="s">
        <v>23</v>
      </c>
    </row>
    <row r="224" customFormat="false" ht="15" hidden="false" customHeight="false" outlineLevel="0" collapsed="false">
      <c r="A224" s="3" t="s">
        <v>822</v>
      </c>
      <c r="B224" s="3" t="s">
        <v>823</v>
      </c>
      <c r="C224" s="4" t="s">
        <v>15</v>
      </c>
      <c r="D224" s="3" t="s">
        <v>824</v>
      </c>
      <c r="E224" s="3" t="s">
        <v>825</v>
      </c>
      <c r="F224" s="3" t="s">
        <v>94</v>
      </c>
      <c r="G224" s="5"/>
      <c r="H224" s="3" t="s">
        <v>95</v>
      </c>
      <c r="I224" s="3" t="s">
        <v>826</v>
      </c>
      <c r="J224" s="4" t="s">
        <v>21</v>
      </c>
      <c r="K224" s="6" t="s">
        <v>22</v>
      </c>
      <c r="L224" s="3"/>
      <c r="M224" s="4" t="s">
        <v>23</v>
      </c>
    </row>
    <row r="225" customFormat="false" ht="15" hidden="false" customHeight="false" outlineLevel="0" collapsed="false">
      <c r="A225" s="7" t="s">
        <v>827</v>
      </c>
      <c r="B225" s="7" t="s">
        <v>823</v>
      </c>
      <c r="C225" s="8" t="s">
        <v>25</v>
      </c>
      <c r="D225" s="7" t="s">
        <v>828</v>
      </c>
      <c r="E225" s="7" t="s">
        <v>829</v>
      </c>
      <c r="F225" s="7" t="s">
        <v>94</v>
      </c>
      <c r="G225" s="9"/>
      <c r="H225" s="7" t="s">
        <v>100</v>
      </c>
      <c r="I225" s="7" t="s">
        <v>826</v>
      </c>
      <c r="J225" s="8" t="s">
        <v>21</v>
      </c>
      <c r="K225" s="6" t="s">
        <v>22</v>
      </c>
      <c r="L225" s="7"/>
      <c r="M225" s="8" t="s">
        <v>23</v>
      </c>
    </row>
    <row r="226" customFormat="false" ht="15" hidden="false" customHeight="false" outlineLevel="0" collapsed="false">
      <c r="A226" s="3" t="s">
        <v>830</v>
      </c>
      <c r="B226" s="3" t="s">
        <v>823</v>
      </c>
      <c r="C226" s="4" t="s">
        <v>31</v>
      </c>
      <c r="D226" s="3" t="s">
        <v>831</v>
      </c>
      <c r="E226" s="3" t="s">
        <v>832</v>
      </c>
      <c r="F226" s="3" t="s">
        <v>94</v>
      </c>
      <c r="G226" s="5"/>
      <c r="H226" s="3" t="s">
        <v>104</v>
      </c>
      <c r="I226" s="3" t="s">
        <v>826</v>
      </c>
      <c r="J226" s="4" t="s">
        <v>21</v>
      </c>
      <c r="K226" s="6" t="s">
        <v>22</v>
      </c>
      <c r="L226" s="3"/>
      <c r="M226" s="4" t="s">
        <v>23</v>
      </c>
    </row>
    <row r="227" customFormat="false" ht="15" hidden="false" customHeight="false" outlineLevel="0" collapsed="false">
      <c r="A227" s="7" t="s">
        <v>833</v>
      </c>
      <c r="B227" s="7" t="s">
        <v>823</v>
      </c>
      <c r="C227" s="8" t="s">
        <v>15</v>
      </c>
      <c r="D227" s="7" t="s">
        <v>834</v>
      </c>
      <c r="E227" s="7" t="s">
        <v>835</v>
      </c>
      <c r="F227" s="7" t="s">
        <v>804</v>
      </c>
      <c r="G227" s="9"/>
      <c r="H227" s="7" t="s">
        <v>278</v>
      </c>
      <c r="I227" s="7" t="s">
        <v>836</v>
      </c>
      <c r="J227" s="8" t="s">
        <v>21</v>
      </c>
      <c r="K227" s="12" t="s">
        <v>343</v>
      </c>
      <c r="L227" s="7"/>
      <c r="M227" s="8" t="s">
        <v>23</v>
      </c>
    </row>
    <row r="228" customFormat="false" ht="15" hidden="false" customHeight="false" outlineLevel="0" collapsed="false">
      <c r="A228" s="3" t="s">
        <v>837</v>
      </c>
      <c r="B228" s="3" t="s">
        <v>823</v>
      </c>
      <c r="C228" s="4" t="s">
        <v>25</v>
      </c>
      <c r="D228" s="3" t="s">
        <v>838</v>
      </c>
      <c r="E228" s="3" t="s">
        <v>839</v>
      </c>
      <c r="F228" s="3" t="s">
        <v>804</v>
      </c>
      <c r="G228" s="5"/>
      <c r="H228" s="3" t="s">
        <v>283</v>
      </c>
      <c r="I228" s="3" t="s">
        <v>836</v>
      </c>
      <c r="J228" s="4" t="s">
        <v>21</v>
      </c>
      <c r="K228" s="12" t="s">
        <v>343</v>
      </c>
      <c r="L228" s="3"/>
      <c r="M228" s="4" t="s">
        <v>23</v>
      </c>
    </row>
    <row r="229" customFormat="false" ht="15" hidden="false" customHeight="false" outlineLevel="0" collapsed="false">
      <c r="A229" s="7" t="s">
        <v>840</v>
      </c>
      <c r="B229" s="7" t="s">
        <v>823</v>
      </c>
      <c r="C229" s="8" t="s">
        <v>31</v>
      </c>
      <c r="D229" s="7" t="s">
        <v>841</v>
      </c>
      <c r="E229" s="7" t="s">
        <v>842</v>
      </c>
      <c r="F229" s="7" t="s">
        <v>804</v>
      </c>
      <c r="G229" s="9"/>
      <c r="H229" s="7" t="s">
        <v>287</v>
      </c>
      <c r="I229" s="7" t="s">
        <v>836</v>
      </c>
      <c r="J229" s="8" t="s">
        <v>21</v>
      </c>
      <c r="K229" s="12" t="s">
        <v>343</v>
      </c>
      <c r="L229" s="7"/>
      <c r="M229" s="8" t="s">
        <v>23</v>
      </c>
    </row>
    <row r="230" customFormat="false" ht="15" hidden="false" customHeight="false" outlineLevel="0" collapsed="false">
      <c r="A230" s="3" t="s">
        <v>843</v>
      </c>
      <c r="B230" s="3" t="s">
        <v>823</v>
      </c>
      <c r="C230" s="4" t="s">
        <v>15</v>
      </c>
      <c r="D230" s="3" t="s">
        <v>844</v>
      </c>
      <c r="E230" s="3" t="s">
        <v>845</v>
      </c>
      <c r="F230" s="3" t="s">
        <v>804</v>
      </c>
      <c r="G230" s="5"/>
      <c r="H230" s="3" t="s">
        <v>278</v>
      </c>
      <c r="I230" s="3" t="s">
        <v>846</v>
      </c>
      <c r="J230" s="4" t="s">
        <v>21</v>
      </c>
      <c r="K230" s="12" t="s">
        <v>343</v>
      </c>
      <c r="L230" s="3"/>
      <c r="M230" s="4" t="s">
        <v>23</v>
      </c>
    </row>
    <row r="231" customFormat="false" ht="15" hidden="false" customHeight="false" outlineLevel="0" collapsed="false">
      <c r="A231" s="7" t="s">
        <v>847</v>
      </c>
      <c r="B231" s="7" t="s">
        <v>823</v>
      </c>
      <c r="C231" s="8" t="s">
        <v>25</v>
      </c>
      <c r="D231" s="7" t="s">
        <v>848</v>
      </c>
      <c r="E231" s="7" t="s">
        <v>849</v>
      </c>
      <c r="F231" s="7" t="s">
        <v>804</v>
      </c>
      <c r="G231" s="9"/>
      <c r="H231" s="7" t="s">
        <v>283</v>
      </c>
      <c r="I231" s="7" t="s">
        <v>846</v>
      </c>
      <c r="J231" s="8" t="s">
        <v>21</v>
      </c>
      <c r="K231" s="12" t="s">
        <v>343</v>
      </c>
      <c r="L231" s="7"/>
      <c r="M231" s="8" t="s">
        <v>23</v>
      </c>
    </row>
    <row r="232" customFormat="false" ht="15" hidden="false" customHeight="false" outlineLevel="0" collapsed="false">
      <c r="A232" s="3" t="s">
        <v>850</v>
      </c>
      <c r="B232" s="3" t="s">
        <v>823</v>
      </c>
      <c r="C232" s="4" t="s">
        <v>31</v>
      </c>
      <c r="D232" s="3" t="s">
        <v>851</v>
      </c>
      <c r="E232" s="3" t="s">
        <v>852</v>
      </c>
      <c r="F232" s="3" t="s">
        <v>804</v>
      </c>
      <c r="G232" s="5"/>
      <c r="H232" s="3" t="s">
        <v>287</v>
      </c>
      <c r="I232" s="3" t="s">
        <v>846</v>
      </c>
      <c r="J232" s="4" t="s">
        <v>21</v>
      </c>
      <c r="K232" s="12" t="s">
        <v>343</v>
      </c>
      <c r="L232" s="3"/>
      <c r="M232" s="4" t="s">
        <v>23</v>
      </c>
    </row>
    <row r="233" customFormat="false" ht="15" hidden="false" customHeight="false" outlineLevel="0" collapsed="false">
      <c r="A233" s="7" t="s">
        <v>853</v>
      </c>
      <c r="B233" s="7" t="s">
        <v>823</v>
      </c>
      <c r="C233" s="8" t="s">
        <v>15</v>
      </c>
      <c r="D233" s="7" t="s">
        <v>854</v>
      </c>
      <c r="E233" s="7" t="s">
        <v>855</v>
      </c>
      <c r="F233" s="7" t="s">
        <v>804</v>
      </c>
      <c r="G233" s="9"/>
      <c r="H233" s="7" t="s">
        <v>278</v>
      </c>
      <c r="I233" s="7" t="s">
        <v>856</v>
      </c>
      <c r="J233" s="8" t="s">
        <v>21</v>
      </c>
      <c r="K233" s="12" t="s">
        <v>343</v>
      </c>
      <c r="L233" s="7"/>
      <c r="M233" s="8" t="s">
        <v>23</v>
      </c>
    </row>
    <row r="234" customFormat="false" ht="15" hidden="false" customHeight="false" outlineLevel="0" collapsed="false">
      <c r="A234" s="3" t="s">
        <v>857</v>
      </c>
      <c r="B234" s="3" t="s">
        <v>823</v>
      </c>
      <c r="C234" s="4" t="s">
        <v>25</v>
      </c>
      <c r="D234" s="3" t="s">
        <v>858</v>
      </c>
      <c r="E234" s="3" t="s">
        <v>859</v>
      </c>
      <c r="F234" s="3" t="s">
        <v>804</v>
      </c>
      <c r="G234" s="5"/>
      <c r="H234" s="3" t="s">
        <v>283</v>
      </c>
      <c r="I234" s="3" t="s">
        <v>856</v>
      </c>
      <c r="J234" s="4" t="s">
        <v>21</v>
      </c>
      <c r="K234" s="12" t="s">
        <v>343</v>
      </c>
      <c r="L234" s="3"/>
      <c r="M234" s="4" t="s">
        <v>23</v>
      </c>
    </row>
    <row r="235" customFormat="false" ht="15" hidden="false" customHeight="false" outlineLevel="0" collapsed="false">
      <c r="A235" s="7" t="s">
        <v>860</v>
      </c>
      <c r="B235" s="7" t="s">
        <v>823</v>
      </c>
      <c r="C235" s="8" t="s">
        <v>31</v>
      </c>
      <c r="D235" s="7" t="s">
        <v>861</v>
      </c>
      <c r="E235" s="7" t="s">
        <v>862</v>
      </c>
      <c r="F235" s="7" t="s">
        <v>804</v>
      </c>
      <c r="G235" s="9"/>
      <c r="H235" s="7" t="s">
        <v>287</v>
      </c>
      <c r="I235" s="7" t="s">
        <v>856</v>
      </c>
      <c r="J235" s="8" t="s">
        <v>21</v>
      </c>
      <c r="K235" s="12" t="s">
        <v>343</v>
      </c>
      <c r="L235" s="7"/>
      <c r="M235" s="8" t="s">
        <v>23</v>
      </c>
    </row>
    <row r="236" customFormat="false" ht="15" hidden="false" customHeight="false" outlineLevel="0" collapsed="false">
      <c r="A236" s="3" t="s">
        <v>863</v>
      </c>
      <c r="B236" s="3" t="s">
        <v>864</v>
      </c>
      <c r="C236" s="4" t="s">
        <v>15</v>
      </c>
      <c r="D236" s="3" t="s">
        <v>865</v>
      </c>
      <c r="E236" s="3" t="s">
        <v>866</v>
      </c>
      <c r="F236" s="3" t="s">
        <v>18</v>
      </c>
      <c r="G236" s="5"/>
      <c r="H236" s="3" t="s">
        <v>19</v>
      </c>
      <c r="I236" s="3" t="s">
        <v>867</v>
      </c>
      <c r="J236" s="4" t="s">
        <v>21</v>
      </c>
      <c r="K236" s="6" t="s">
        <v>22</v>
      </c>
      <c r="L236" s="3"/>
      <c r="M236" s="4" t="s">
        <v>23</v>
      </c>
    </row>
    <row r="237" customFormat="false" ht="15" hidden="false" customHeight="false" outlineLevel="0" collapsed="false">
      <c r="A237" s="7" t="s">
        <v>868</v>
      </c>
      <c r="B237" s="7" t="s">
        <v>864</v>
      </c>
      <c r="C237" s="8" t="s">
        <v>25</v>
      </c>
      <c r="D237" s="7" t="s">
        <v>869</v>
      </c>
      <c r="E237" s="7" t="s">
        <v>870</v>
      </c>
      <c r="F237" s="7" t="s">
        <v>28</v>
      </c>
      <c r="G237" s="9"/>
      <c r="H237" s="7" t="s">
        <v>29</v>
      </c>
      <c r="I237" s="7" t="s">
        <v>867</v>
      </c>
      <c r="J237" s="8" t="s">
        <v>21</v>
      </c>
      <c r="K237" s="6" t="s">
        <v>22</v>
      </c>
      <c r="L237" s="7"/>
      <c r="M237" s="8" t="s">
        <v>23</v>
      </c>
    </row>
    <row r="238" customFormat="false" ht="15" hidden="false" customHeight="false" outlineLevel="0" collapsed="false">
      <c r="A238" s="3" t="s">
        <v>871</v>
      </c>
      <c r="B238" s="3" t="s">
        <v>864</v>
      </c>
      <c r="C238" s="4" t="s">
        <v>31</v>
      </c>
      <c r="D238" s="3" t="s">
        <v>872</v>
      </c>
      <c r="E238" s="3" t="s">
        <v>873</v>
      </c>
      <c r="F238" s="3" t="s">
        <v>34</v>
      </c>
      <c r="G238" s="5"/>
      <c r="H238" s="3" t="s">
        <v>35</v>
      </c>
      <c r="I238" s="3" t="s">
        <v>867</v>
      </c>
      <c r="J238" s="4" t="s">
        <v>21</v>
      </c>
      <c r="K238" s="6" t="s">
        <v>22</v>
      </c>
      <c r="L238" s="3"/>
      <c r="M238" s="4" t="s">
        <v>23</v>
      </c>
    </row>
    <row r="239" customFormat="false" ht="15" hidden="false" customHeight="false" outlineLevel="0" collapsed="false">
      <c r="A239" s="7" t="s">
        <v>874</v>
      </c>
      <c r="B239" s="7" t="s">
        <v>864</v>
      </c>
      <c r="C239" s="8" t="s">
        <v>15</v>
      </c>
      <c r="D239" s="7" t="s">
        <v>875</v>
      </c>
      <c r="E239" s="7" t="s">
        <v>876</v>
      </c>
      <c r="F239" s="7" t="s">
        <v>18</v>
      </c>
      <c r="G239" s="9"/>
      <c r="H239" s="7" t="s">
        <v>19</v>
      </c>
      <c r="I239" s="7" t="s">
        <v>877</v>
      </c>
      <c r="J239" s="8" t="s">
        <v>21</v>
      </c>
      <c r="K239" s="6" t="s">
        <v>22</v>
      </c>
      <c r="L239" s="7"/>
      <c r="M239" s="8" t="s">
        <v>23</v>
      </c>
    </row>
    <row r="240" customFormat="false" ht="15" hidden="false" customHeight="false" outlineLevel="0" collapsed="false">
      <c r="A240" s="3" t="s">
        <v>878</v>
      </c>
      <c r="B240" s="3" t="s">
        <v>864</v>
      </c>
      <c r="C240" s="4" t="s">
        <v>25</v>
      </c>
      <c r="D240" s="3" t="s">
        <v>879</v>
      </c>
      <c r="E240" s="3" t="s">
        <v>880</v>
      </c>
      <c r="F240" s="3" t="s">
        <v>28</v>
      </c>
      <c r="G240" s="5"/>
      <c r="H240" s="3" t="s">
        <v>29</v>
      </c>
      <c r="I240" s="3" t="s">
        <v>877</v>
      </c>
      <c r="J240" s="4" t="s">
        <v>21</v>
      </c>
      <c r="K240" s="6" t="s">
        <v>22</v>
      </c>
      <c r="L240" s="3"/>
      <c r="M240" s="4" t="s">
        <v>23</v>
      </c>
    </row>
    <row r="241" customFormat="false" ht="15" hidden="false" customHeight="false" outlineLevel="0" collapsed="false">
      <c r="A241" s="7" t="s">
        <v>881</v>
      </c>
      <c r="B241" s="7" t="s">
        <v>864</v>
      </c>
      <c r="C241" s="8" t="s">
        <v>31</v>
      </c>
      <c r="D241" s="7" t="s">
        <v>882</v>
      </c>
      <c r="E241" s="7" t="s">
        <v>883</v>
      </c>
      <c r="F241" s="7" t="s">
        <v>34</v>
      </c>
      <c r="G241" s="9"/>
      <c r="H241" s="7" t="s">
        <v>35</v>
      </c>
      <c r="I241" s="7" t="s">
        <v>877</v>
      </c>
      <c r="J241" s="8" t="s">
        <v>21</v>
      </c>
      <c r="K241" s="6" t="s">
        <v>22</v>
      </c>
      <c r="L241" s="7"/>
      <c r="M241" s="8" t="s">
        <v>23</v>
      </c>
    </row>
    <row r="242" customFormat="false" ht="15" hidden="false" customHeight="false" outlineLevel="0" collapsed="false">
      <c r="A242" s="3" t="s">
        <v>884</v>
      </c>
      <c r="B242" s="3" t="s">
        <v>864</v>
      </c>
      <c r="C242" s="4" t="s">
        <v>15</v>
      </c>
      <c r="D242" s="3" t="s">
        <v>885</v>
      </c>
      <c r="E242" s="3" t="s">
        <v>886</v>
      </c>
      <c r="F242" s="3" t="s">
        <v>18</v>
      </c>
      <c r="G242" s="5"/>
      <c r="H242" s="3" t="s">
        <v>19</v>
      </c>
      <c r="I242" s="3" t="s">
        <v>887</v>
      </c>
      <c r="J242" s="4" t="s">
        <v>21</v>
      </c>
      <c r="K242" s="6" t="s">
        <v>22</v>
      </c>
      <c r="L242" s="3"/>
      <c r="M242" s="4" t="s">
        <v>23</v>
      </c>
    </row>
    <row r="243" customFormat="false" ht="15" hidden="false" customHeight="false" outlineLevel="0" collapsed="false">
      <c r="A243" s="7" t="s">
        <v>888</v>
      </c>
      <c r="B243" s="7" t="s">
        <v>864</v>
      </c>
      <c r="C243" s="8" t="s">
        <v>25</v>
      </c>
      <c r="D243" s="7" t="s">
        <v>889</v>
      </c>
      <c r="E243" s="7" t="s">
        <v>890</v>
      </c>
      <c r="F243" s="7" t="s">
        <v>28</v>
      </c>
      <c r="G243" s="9"/>
      <c r="H243" s="7" t="s">
        <v>29</v>
      </c>
      <c r="I243" s="7" t="s">
        <v>887</v>
      </c>
      <c r="J243" s="8" t="s">
        <v>21</v>
      </c>
      <c r="K243" s="6" t="s">
        <v>22</v>
      </c>
      <c r="L243" s="7"/>
      <c r="M243" s="8" t="s">
        <v>23</v>
      </c>
    </row>
    <row r="244" customFormat="false" ht="15" hidden="false" customHeight="false" outlineLevel="0" collapsed="false">
      <c r="A244" s="3" t="s">
        <v>891</v>
      </c>
      <c r="B244" s="3" t="s">
        <v>864</v>
      </c>
      <c r="C244" s="4" t="s">
        <v>31</v>
      </c>
      <c r="D244" s="3" t="s">
        <v>892</v>
      </c>
      <c r="E244" s="3" t="s">
        <v>893</v>
      </c>
      <c r="F244" s="3" t="s">
        <v>34</v>
      </c>
      <c r="G244" s="5"/>
      <c r="H244" s="3" t="s">
        <v>35</v>
      </c>
      <c r="I244" s="3" t="s">
        <v>887</v>
      </c>
      <c r="J244" s="4" t="s">
        <v>21</v>
      </c>
      <c r="K244" s="6" t="s">
        <v>22</v>
      </c>
      <c r="L244" s="3"/>
      <c r="M244" s="4" t="s">
        <v>23</v>
      </c>
    </row>
    <row r="245" customFormat="false" ht="15" hidden="false" customHeight="false" outlineLevel="0" collapsed="false">
      <c r="A245" s="7" t="s">
        <v>894</v>
      </c>
      <c r="B245" s="7" t="s">
        <v>864</v>
      </c>
      <c r="C245" s="8" t="s">
        <v>15</v>
      </c>
      <c r="D245" s="7" t="s">
        <v>895</v>
      </c>
      <c r="E245" s="7" t="s">
        <v>896</v>
      </c>
      <c r="F245" s="7" t="s">
        <v>18</v>
      </c>
      <c r="G245" s="9"/>
      <c r="H245" s="7" t="s">
        <v>19</v>
      </c>
      <c r="I245" s="7" t="s">
        <v>897</v>
      </c>
      <c r="J245" s="8" t="s">
        <v>21</v>
      </c>
      <c r="K245" s="6" t="s">
        <v>22</v>
      </c>
      <c r="L245" s="7"/>
      <c r="M245" s="8" t="s">
        <v>23</v>
      </c>
    </row>
    <row r="246" customFormat="false" ht="15" hidden="false" customHeight="false" outlineLevel="0" collapsed="false">
      <c r="A246" s="3" t="s">
        <v>898</v>
      </c>
      <c r="B246" s="3" t="s">
        <v>864</v>
      </c>
      <c r="C246" s="4" t="s">
        <v>25</v>
      </c>
      <c r="D246" s="3" t="s">
        <v>899</v>
      </c>
      <c r="E246" s="3" t="s">
        <v>900</v>
      </c>
      <c r="F246" s="3" t="s">
        <v>28</v>
      </c>
      <c r="G246" s="5"/>
      <c r="H246" s="3" t="s">
        <v>29</v>
      </c>
      <c r="I246" s="3" t="s">
        <v>897</v>
      </c>
      <c r="J246" s="4" t="s">
        <v>21</v>
      </c>
      <c r="K246" s="6" t="s">
        <v>22</v>
      </c>
      <c r="L246" s="3"/>
      <c r="M246" s="4" t="s">
        <v>23</v>
      </c>
    </row>
    <row r="247" customFormat="false" ht="15" hidden="false" customHeight="false" outlineLevel="0" collapsed="false">
      <c r="A247" s="7" t="s">
        <v>901</v>
      </c>
      <c r="B247" s="7" t="s">
        <v>864</v>
      </c>
      <c r="C247" s="8" t="s">
        <v>31</v>
      </c>
      <c r="D247" s="7" t="s">
        <v>902</v>
      </c>
      <c r="E247" s="7" t="s">
        <v>903</v>
      </c>
      <c r="F247" s="7" t="s">
        <v>34</v>
      </c>
      <c r="G247" s="9"/>
      <c r="H247" s="7" t="s">
        <v>35</v>
      </c>
      <c r="I247" s="7" t="s">
        <v>897</v>
      </c>
      <c r="J247" s="8" t="s">
        <v>21</v>
      </c>
      <c r="K247" s="6" t="s">
        <v>22</v>
      </c>
      <c r="L247" s="7"/>
      <c r="M247" s="8" t="s">
        <v>23</v>
      </c>
    </row>
    <row r="248" customFormat="false" ht="15" hidden="false" customHeight="false" outlineLevel="0" collapsed="false">
      <c r="A248" s="3" t="s">
        <v>904</v>
      </c>
      <c r="B248" s="3" t="s">
        <v>864</v>
      </c>
      <c r="C248" s="4" t="s">
        <v>15</v>
      </c>
      <c r="D248" s="3" t="s">
        <v>905</v>
      </c>
      <c r="E248" s="3" t="s">
        <v>906</v>
      </c>
      <c r="F248" s="3" t="s">
        <v>907</v>
      </c>
      <c r="G248" s="5"/>
      <c r="H248" s="3" t="s">
        <v>95</v>
      </c>
      <c r="I248" s="3" t="s">
        <v>908</v>
      </c>
      <c r="J248" s="4" t="s">
        <v>21</v>
      </c>
      <c r="K248" s="6" t="s">
        <v>22</v>
      </c>
      <c r="L248" s="3"/>
      <c r="M248" s="4" t="s">
        <v>23</v>
      </c>
    </row>
    <row r="249" customFormat="false" ht="15" hidden="false" customHeight="false" outlineLevel="0" collapsed="false">
      <c r="A249" s="7" t="s">
        <v>909</v>
      </c>
      <c r="B249" s="7" t="s">
        <v>864</v>
      </c>
      <c r="C249" s="8" t="s">
        <v>25</v>
      </c>
      <c r="D249" s="7" t="s">
        <v>910</v>
      </c>
      <c r="E249" s="7" t="s">
        <v>911</v>
      </c>
      <c r="F249" s="7" t="s">
        <v>907</v>
      </c>
      <c r="G249" s="9"/>
      <c r="H249" s="7" t="s">
        <v>100</v>
      </c>
      <c r="I249" s="7" t="s">
        <v>908</v>
      </c>
      <c r="J249" s="8" t="s">
        <v>21</v>
      </c>
      <c r="K249" s="6" t="s">
        <v>22</v>
      </c>
      <c r="L249" s="7"/>
      <c r="M249" s="8" t="s">
        <v>23</v>
      </c>
    </row>
    <row r="250" customFormat="false" ht="15" hidden="false" customHeight="false" outlineLevel="0" collapsed="false">
      <c r="A250" s="3" t="s">
        <v>912</v>
      </c>
      <c r="B250" s="3" t="s">
        <v>864</v>
      </c>
      <c r="C250" s="4" t="s">
        <v>31</v>
      </c>
      <c r="D250" s="3" t="s">
        <v>913</v>
      </c>
      <c r="E250" s="3" t="s">
        <v>914</v>
      </c>
      <c r="F250" s="3" t="s">
        <v>907</v>
      </c>
      <c r="G250" s="5"/>
      <c r="H250" s="3" t="s">
        <v>104</v>
      </c>
      <c r="I250" s="3" t="s">
        <v>908</v>
      </c>
      <c r="J250" s="4" t="s">
        <v>21</v>
      </c>
      <c r="K250" s="6" t="s">
        <v>22</v>
      </c>
      <c r="L250" s="3"/>
      <c r="M250" s="4" t="s">
        <v>23</v>
      </c>
    </row>
    <row r="251" customFormat="false" ht="15" hidden="false" customHeight="false" outlineLevel="0" collapsed="false">
      <c r="A251" s="7" t="s">
        <v>915</v>
      </c>
      <c r="B251" s="7" t="s">
        <v>864</v>
      </c>
      <c r="C251" s="8" t="s">
        <v>15</v>
      </c>
      <c r="D251" s="7" t="s">
        <v>916</v>
      </c>
      <c r="E251" s="7" t="s">
        <v>917</v>
      </c>
      <c r="F251" s="7" t="s">
        <v>907</v>
      </c>
      <c r="G251" s="9"/>
      <c r="H251" s="7" t="s">
        <v>95</v>
      </c>
      <c r="I251" s="7" t="s">
        <v>918</v>
      </c>
      <c r="J251" s="8" t="s">
        <v>21</v>
      </c>
      <c r="K251" s="6" t="s">
        <v>22</v>
      </c>
      <c r="L251" s="7"/>
      <c r="M251" s="8" t="s">
        <v>23</v>
      </c>
    </row>
    <row r="252" customFormat="false" ht="15" hidden="false" customHeight="false" outlineLevel="0" collapsed="false">
      <c r="A252" s="3" t="s">
        <v>919</v>
      </c>
      <c r="B252" s="3" t="s">
        <v>864</v>
      </c>
      <c r="C252" s="4" t="s">
        <v>25</v>
      </c>
      <c r="D252" s="3" t="s">
        <v>920</v>
      </c>
      <c r="E252" s="3" t="s">
        <v>921</v>
      </c>
      <c r="F252" s="3" t="s">
        <v>907</v>
      </c>
      <c r="G252" s="5"/>
      <c r="H252" s="3" t="s">
        <v>100</v>
      </c>
      <c r="I252" s="3" t="s">
        <v>918</v>
      </c>
      <c r="J252" s="4" t="s">
        <v>21</v>
      </c>
      <c r="K252" s="6" t="s">
        <v>22</v>
      </c>
      <c r="L252" s="3"/>
      <c r="M252" s="4" t="s">
        <v>23</v>
      </c>
    </row>
    <row r="253" customFormat="false" ht="15" hidden="false" customHeight="false" outlineLevel="0" collapsed="false">
      <c r="A253" s="7" t="s">
        <v>922</v>
      </c>
      <c r="B253" s="7" t="s">
        <v>864</v>
      </c>
      <c r="C253" s="8" t="s">
        <v>31</v>
      </c>
      <c r="D253" s="7" t="s">
        <v>923</v>
      </c>
      <c r="E253" s="7" t="s">
        <v>924</v>
      </c>
      <c r="F253" s="7" t="s">
        <v>907</v>
      </c>
      <c r="G253" s="9"/>
      <c r="H253" s="7" t="s">
        <v>104</v>
      </c>
      <c r="I253" s="7" t="s">
        <v>918</v>
      </c>
      <c r="J253" s="8" t="s">
        <v>21</v>
      </c>
      <c r="K253" s="6" t="s">
        <v>22</v>
      </c>
      <c r="L253" s="7"/>
      <c r="M253" s="8" t="s">
        <v>23</v>
      </c>
    </row>
    <row r="254" customFormat="false" ht="15" hidden="false" customHeight="false" outlineLevel="0" collapsed="false">
      <c r="A254" s="3" t="s">
        <v>925</v>
      </c>
      <c r="B254" s="3" t="s">
        <v>926</v>
      </c>
      <c r="C254" s="4" t="s">
        <v>15</v>
      </c>
      <c r="D254" s="3" t="s">
        <v>927</v>
      </c>
      <c r="E254" s="3" t="s">
        <v>928</v>
      </c>
      <c r="F254" s="3" t="s">
        <v>94</v>
      </c>
      <c r="G254" s="5"/>
      <c r="H254" s="3" t="s">
        <v>95</v>
      </c>
      <c r="I254" s="3" t="s">
        <v>929</v>
      </c>
      <c r="J254" s="4" t="s">
        <v>21</v>
      </c>
      <c r="K254" s="6" t="s">
        <v>22</v>
      </c>
      <c r="L254" s="3"/>
      <c r="M254" s="4" t="s">
        <v>23</v>
      </c>
    </row>
    <row r="255" customFormat="false" ht="15" hidden="false" customHeight="false" outlineLevel="0" collapsed="false">
      <c r="A255" s="7" t="s">
        <v>930</v>
      </c>
      <c r="B255" s="7" t="s">
        <v>926</v>
      </c>
      <c r="C255" s="8" t="s">
        <v>25</v>
      </c>
      <c r="D255" s="7" t="s">
        <v>931</v>
      </c>
      <c r="E255" s="7" t="s">
        <v>932</v>
      </c>
      <c r="F255" s="7" t="s">
        <v>94</v>
      </c>
      <c r="G255" s="9"/>
      <c r="H255" s="7" t="s">
        <v>100</v>
      </c>
      <c r="I255" s="7" t="s">
        <v>929</v>
      </c>
      <c r="J255" s="8" t="s">
        <v>21</v>
      </c>
      <c r="K255" s="6" t="s">
        <v>22</v>
      </c>
      <c r="L255" s="7"/>
      <c r="M255" s="8" t="s">
        <v>23</v>
      </c>
    </row>
    <row r="256" customFormat="false" ht="15" hidden="false" customHeight="false" outlineLevel="0" collapsed="false">
      <c r="A256" s="3" t="s">
        <v>933</v>
      </c>
      <c r="B256" s="3" t="s">
        <v>926</v>
      </c>
      <c r="C256" s="4" t="s">
        <v>31</v>
      </c>
      <c r="D256" s="3" t="s">
        <v>934</v>
      </c>
      <c r="E256" s="3" t="s">
        <v>935</v>
      </c>
      <c r="F256" s="3" t="s">
        <v>94</v>
      </c>
      <c r="G256" s="5"/>
      <c r="H256" s="3" t="s">
        <v>104</v>
      </c>
      <c r="I256" s="3" t="s">
        <v>929</v>
      </c>
      <c r="J256" s="4" t="s">
        <v>21</v>
      </c>
      <c r="K256" s="6" t="s">
        <v>22</v>
      </c>
      <c r="L256" s="3"/>
      <c r="M256" s="4" t="s">
        <v>23</v>
      </c>
    </row>
    <row r="257" customFormat="false" ht="15" hidden="false" customHeight="false" outlineLevel="0" collapsed="false">
      <c r="A257" s="7" t="s">
        <v>936</v>
      </c>
      <c r="B257" s="7" t="s">
        <v>926</v>
      </c>
      <c r="C257" s="8" t="s">
        <v>15</v>
      </c>
      <c r="D257" s="7" t="s">
        <v>937</v>
      </c>
      <c r="E257" s="7" t="s">
        <v>938</v>
      </c>
      <c r="F257" s="7" t="s">
        <v>94</v>
      </c>
      <c r="G257" s="9"/>
      <c r="H257" s="7" t="s">
        <v>95</v>
      </c>
      <c r="I257" s="7" t="s">
        <v>939</v>
      </c>
      <c r="J257" s="8" t="s">
        <v>21</v>
      </c>
      <c r="K257" s="6" t="s">
        <v>22</v>
      </c>
      <c r="L257" s="7"/>
      <c r="M257" s="8" t="s">
        <v>23</v>
      </c>
    </row>
    <row r="258" customFormat="false" ht="15" hidden="false" customHeight="false" outlineLevel="0" collapsed="false">
      <c r="A258" s="3" t="s">
        <v>940</v>
      </c>
      <c r="B258" s="3" t="s">
        <v>926</v>
      </c>
      <c r="C258" s="4" t="s">
        <v>25</v>
      </c>
      <c r="D258" s="3" t="s">
        <v>941</v>
      </c>
      <c r="E258" s="3" t="s">
        <v>942</v>
      </c>
      <c r="F258" s="3" t="s">
        <v>94</v>
      </c>
      <c r="G258" s="5"/>
      <c r="H258" s="3" t="s">
        <v>100</v>
      </c>
      <c r="I258" s="3" t="s">
        <v>939</v>
      </c>
      <c r="J258" s="4" t="s">
        <v>21</v>
      </c>
      <c r="K258" s="6" t="s">
        <v>22</v>
      </c>
      <c r="L258" s="3"/>
      <c r="M258" s="4" t="s">
        <v>23</v>
      </c>
    </row>
    <row r="259" customFormat="false" ht="15" hidden="false" customHeight="false" outlineLevel="0" collapsed="false">
      <c r="A259" s="7" t="s">
        <v>943</v>
      </c>
      <c r="B259" s="7" t="s">
        <v>926</v>
      </c>
      <c r="C259" s="8" t="s">
        <v>31</v>
      </c>
      <c r="D259" s="7" t="s">
        <v>944</v>
      </c>
      <c r="E259" s="7" t="s">
        <v>945</v>
      </c>
      <c r="F259" s="7" t="s">
        <v>94</v>
      </c>
      <c r="G259" s="9"/>
      <c r="H259" s="7" t="s">
        <v>104</v>
      </c>
      <c r="I259" s="7" t="s">
        <v>939</v>
      </c>
      <c r="J259" s="8" t="s">
        <v>21</v>
      </c>
      <c r="K259" s="6" t="s">
        <v>22</v>
      </c>
      <c r="L259" s="7"/>
      <c r="M259" s="8" t="s">
        <v>23</v>
      </c>
    </row>
    <row r="260" customFormat="false" ht="15" hidden="false" customHeight="false" outlineLevel="0" collapsed="false">
      <c r="A260" s="3" t="s">
        <v>946</v>
      </c>
      <c r="B260" s="3" t="s">
        <v>926</v>
      </c>
      <c r="C260" s="4" t="s">
        <v>15</v>
      </c>
      <c r="D260" s="3" t="s">
        <v>947</v>
      </c>
      <c r="E260" s="3" t="s">
        <v>948</v>
      </c>
      <c r="F260" s="3" t="s">
        <v>94</v>
      </c>
      <c r="G260" s="5"/>
      <c r="H260" s="3" t="s">
        <v>95</v>
      </c>
      <c r="I260" s="3" t="s">
        <v>949</v>
      </c>
      <c r="J260" s="4" t="s">
        <v>21</v>
      </c>
      <c r="K260" s="6" t="s">
        <v>22</v>
      </c>
      <c r="L260" s="3"/>
      <c r="M260" s="4" t="s">
        <v>23</v>
      </c>
    </row>
    <row r="261" customFormat="false" ht="15" hidden="false" customHeight="false" outlineLevel="0" collapsed="false">
      <c r="A261" s="7" t="s">
        <v>950</v>
      </c>
      <c r="B261" s="7" t="s">
        <v>926</v>
      </c>
      <c r="C261" s="8" t="s">
        <v>25</v>
      </c>
      <c r="D261" s="7" t="s">
        <v>951</v>
      </c>
      <c r="E261" s="7" t="s">
        <v>952</v>
      </c>
      <c r="F261" s="7" t="s">
        <v>94</v>
      </c>
      <c r="G261" s="9"/>
      <c r="H261" s="7" t="s">
        <v>100</v>
      </c>
      <c r="I261" s="7" t="s">
        <v>949</v>
      </c>
      <c r="J261" s="8" t="s">
        <v>21</v>
      </c>
      <c r="K261" s="6" t="s">
        <v>22</v>
      </c>
      <c r="L261" s="7"/>
      <c r="M261" s="8" t="s">
        <v>23</v>
      </c>
    </row>
    <row r="262" customFormat="false" ht="15" hidden="false" customHeight="false" outlineLevel="0" collapsed="false">
      <c r="A262" s="3" t="s">
        <v>953</v>
      </c>
      <c r="B262" s="3" t="s">
        <v>926</v>
      </c>
      <c r="C262" s="4" t="s">
        <v>31</v>
      </c>
      <c r="D262" s="3" t="s">
        <v>954</v>
      </c>
      <c r="E262" s="3" t="s">
        <v>955</v>
      </c>
      <c r="F262" s="3" t="s">
        <v>94</v>
      </c>
      <c r="G262" s="5"/>
      <c r="H262" s="3" t="s">
        <v>104</v>
      </c>
      <c r="I262" s="3" t="s">
        <v>949</v>
      </c>
      <c r="J262" s="4" t="s">
        <v>21</v>
      </c>
      <c r="K262" s="6" t="s">
        <v>22</v>
      </c>
      <c r="L262" s="3"/>
      <c r="M262" s="4" t="s">
        <v>23</v>
      </c>
    </row>
    <row r="263" customFormat="false" ht="15" hidden="false" customHeight="false" outlineLevel="0" collapsed="false">
      <c r="A263" s="7" t="s">
        <v>956</v>
      </c>
      <c r="B263" s="7" t="s">
        <v>926</v>
      </c>
      <c r="C263" s="8" t="s">
        <v>15</v>
      </c>
      <c r="D263" s="7" t="s">
        <v>957</v>
      </c>
      <c r="E263" s="7" t="s">
        <v>958</v>
      </c>
      <c r="F263" s="7" t="s">
        <v>804</v>
      </c>
      <c r="G263" s="9"/>
      <c r="H263" s="7" t="s">
        <v>278</v>
      </c>
      <c r="I263" s="7" t="s">
        <v>959</v>
      </c>
      <c r="J263" s="8" t="s">
        <v>21</v>
      </c>
      <c r="K263" s="12" t="s">
        <v>343</v>
      </c>
      <c r="L263" s="7"/>
      <c r="M263" s="8" t="s">
        <v>23</v>
      </c>
    </row>
    <row r="264" customFormat="false" ht="15" hidden="false" customHeight="false" outlineLevel="0" collapsed="false">
      <c r="A264" s="3" t="s">
        <v>960</v>
      </c>
      <c r="B264" s="3" t="s">
        <v>926</v>
      </c>
      <c r="C264" s="4" t="s">
        <v>25</v>
      </c>
      <c r="D264" s="3" t="s">
        <v>961</v>
      </c>
      <c r="E264" s="3" t="s">
        <v>962</v>
      </c>
      <c r="F264" s="3" t="s">
        <v>804</v>
      </c>
      <c r="G264" s="5"/>
      <c r="H264" s="3" t="s">
        <v>283</v>
      </c>
      <c r="I264" s="3" t="s">
        <v>959</v>
      </c>
      <c r="J264" s="4" t="s">
        <v>21</v>
      </c>
      <c r="K264" s="12" t="s">
        <v>343</v>
      </c>
      <c r="L264" s="3"/>
      <c r="M264" s="4" t="s">
        <v>23</v>
      </c>
    </row>
    <row r="265" customFormat="false" ht="15" hidden="false" customHeight="false" outlineLevel="0" collapsed="false">
      <c r="A265" s="7" t="s">
        <v>963</v>
      </c>
      <c r="B265" s="7" t="s">
        <v>926</v>
      </c>
      <c r="C265" s="8" t="s">
        <v>31</v>
      </c>
      <c r="D265" s="7" t="s">
        <v>964</v>
      </c>
      <c r="E265" s="7" t="s">
        <v>965</v>
      </c>
      <c r="F265" s="7" t="s">
        <v>804</v>
      </c>
      <c r="G265" s="9"/>
      <c r="H265" s="7" t="s">
        <v>287</v>
      </c>
      <c r="I265" s="7" t="s">
        <v>959</v>
      </c>
      <c r="J265" s="8" t="s">
        <v>21</v>
      </c>
      <c r="K265" s="12" t="s">
        <v>343</v>
      </c>
      <c r="L265" s="7"/>
      <c r="M265" s="8" t="s">
        <v>23</v>
      </c>
    </row>
    <row r="266" customFormat="false" ht="15" hidden="false" customHeight="false" outlineLevel="0" collapsed="false">
      <c r="A266" s="3" t="s">
        <v>966</v>
      </c>
      <c r="B266" s="3" t="s">
        <v>967</v>
      </c>
      <c r="C266" s="4" t="s">
        <v>15</v>
      </c>
      <c r="D266" s="3" t="s">
        <v>968</v>
      </c>
      <c r="E266" s="3" t="s">
        <v>969</v>
      </c>
      <c r="F266" s="3" t="s">
        <v>970</v>
      </c>
      <c r="G266" s="5"/>
      <c r="H266" s="3" t="s">
        <v>95</v>
      </c>
      <c r="I266" s="3" t="s">
        <v>971</v>
      </c>
      <c r="J266" s="4" t="s">
        <v>21</v>
      </c>
      <c r="K266" s="6" t="s">
        <v>22</v>
      </c>
      <c r="L266" s="3"/>
      <c r="M266" s="4" t="s">
        <v>23</v>
      </c>
    </row>
    <row r="267" customFormat="false" ht="15" hidden="false" customHeight="false" outlineLevel="0" collapsed="false">
      <c r="A267" s="7" t="s">
        <v>972</v>
      </c>
      <c r="B267" s="7" t="s">
        <v>967</v>
      </c>
      <c r="C267" s="8" t="s">
        <v>25</v>
      </c>
      <c r="D267" s="7" t="s">
        <v>973</v>
      </c>
      <c r="E267" s="7" t="s">
        <v>974</v>
      </c>
      <c r="F267" s="7" t="s">
        <v>970</v>
      </c>
      <c r="G267" s="9"/>
      <c r="H267" s="7" t="s">
        <v>100</v>
      </c>
      <c r="I267" s="7" t="s">
        <v>971</v>
      </c>
      <c r="J267" s="8" t="s">
        <v>21</v>
      </c>
      <c r="K267" s="6" t="s">
        <v>22</v>
      </c>
      <c r="L267" s="7"/>
      <c r="M267" s="8" t="s">
        <v>23</v>
      </c>
    </row>
    <row r="268" customFormat="false" ht="15" hidden="false" customHeight="false" outlineLevel="0" collapsed="false">
      <c r="A268" s="3" t="s">
        <v>975</v>
      </c>
      <c r="B268" s="3" t="s">
        <v>967</v>
      </c>
      <c r="C268" s="4" t="s">
        <v>31</v>
      </c>
      <c r="D268" s="3" t="s">
        <v>976</v>
      </c>
      <c r="E268" s="3" t="s">
        <v>977</v>
      </c>
      <c r="F268" s="3" t="s">
        <v>970</v>
      </c>
      <c r="G268" s="5"/>
      <c r="H268" s="3" t="s">
        <v>104</v>
      </c>
      <c r="I268" s="3" t="s">
        <v>971</v>
      </c>
      <c r="J268" s="4" t="s">
        <v>21</v>
      </c>
      <c r="K268" s="6" t="s">
        <v>22</v>
      </c>
      <c r="L268" s="3"/>
      <c r="M268" s="4" t="s">
        <v>23</v>
      </c>
    </row>
    <row r="269" customFormat="false" ht="15" hidden="false" customHeight="false" outlineLevel="0" collapsed="false">
      <c r="A269" s="7" t="s">
        <v>978</v>
      </c>
      <c r="B269" s="7" t="s">
        <v>967</v>
      </c>
      <c r="C269" s="8" t="s">
        <v>15</v>
      </c>
      <c r="D269" s="7" t="s">
        <v>979</v>
      </c>
      <c r="E269" s="7" t="s">
        <v>980</v>
      </c>
      <c r="F269" s="7" t="s">
        <v>970</v>
      </c>
      <c r="G269" s="9"/>
      <c r="H269" s="7" t="s">
        <v>95</v>
      </c>
      <c r="I269" s="7" t="s">
        <v>981</v>
      </c>
      <c r="J269" s="8" t="s">
        <v>21</v>
      </c>
      <c r="K269" s="6" t="s">
        <v>22</v>
      </c>
      <c r="L269" s="7"/>
      <c r="M269" s="8" t="s">
        <v>23</v>
      </c>
    </row>
    <row r="270" customFormat="false" ht="15" hidden="false" customHeight="false" outlineLevel="0" collapsed="false">
      <c r="A270" s="3" t="s">
        <v>982</v>
      </c>
      <c r="B270" s="3" t="s">
        <v>967</v>
      </c>
      <c r="C270" s="4" t="s">
        <v>25</v>
      </c>
      <c r="D270" s="3" t="s">
        <v>983</v>
      </c>
      <c r="E270" s="3" t="s">
        <v>984</v>
      </c>
      <c r="F270" s="3" t="s">
        <v>970</v>
      </c>
      <c r="G270" s="5"/>
      <c r="H270" s="3" t="s">
        <v>100</v>
      </c>
      <c r="I270" s="3" t="s">
        <v>981</v>
      </c>
      <c r="J270" s="4" t="s">
        <v>21</v>
      </c>
      <c r="K270" s="6" t="s">
        <v>22</v>
      </c>
      <c r="L270" s="3"/>
      <c r="M270" s="4" t="s">
        <v>23</v>
      </c>
    </row>
    <row r="271" customFormat="false" ht="15" hidden="false" customHeight="false" outlineLevel="0" collapsed="false">
      <c r="A271" s="7" t="s">
        <v>985</v>
      </c>
      <c r="B271" s="7" t="s">
        <v>967</v>
      </c>
      <c r="C271" s="8" t="s">
        <v>31</v>
      </c>
      <c r="D271" s="7" t="s">
        <v>986</v>
      </c>
      <c r="E271" s="7" t="s">
        <v>987</v>
      </c>
      <c r="F271" s="7" t="s">
        <v>970</v>
      </c>
      <c r="G271" s="9"/>
      <c r="H271" s="7" t="s">
        <v>104</v>
      </c>
      <c r="I271" s="7" t="s">
        <v>981</v>
      </c>
      <c r="J271" s="8" t="s">
        <v>21</v>
      </c>
      <c r="K271" s="6" t="s">
        <v>22</v>
      </c>
      <c r="L271" s="7"/>
      <c r="M271" s="8" t="s">
        <v>23</v>
      </c>
    </row>
    <row r="272" customFormat="false" ht="15" hidden="false" customHeight="false" outlineLevel="0" collapsed="false">
      <c r="A272" s="3" t="s">
        <v>988</v>
      </c>
      <c r="B272" s="3" t="s">
        <v>967</v>
      </c>
      <c r="C272" s="4" t="s">
        <v>15</v>
      </c>
      <c r="D272" s="3" t="s">
        <v>989</v>
      </c>
      <c r="E272" s="3" t="s">
        <v>990</v>
      </c>
      <c r="F272" s="3" t="s">
        <v>970</v>
      </c>
      <c r="G272" s="5"/>
      <c r="H272" s="3" t="s">
        <v>95</v>
      </c>
      <c r="I272" s="3" t="s">
        <v>991</v>
      </c>
      <c r="J272" s="4" t="s">
        <v>21</v>
      </c>
      <c r="K272" s="6" t="s">
        <v>22</v>
      </c>
      <c r="L272" s="3"/>
      <c r="M272" s="4" t="s">
        <v>23</v>
      </c>
    </row>
    <row r="273" customFormat="false" ht="15" hidden="false" customHeight="false" outlineLevel="0" collapsed="false">
      <c r="A273" s="7" t="s">
        <v>992</v>
      </c>
      <c r="B273" s="7" t="s">
        <v>967</v>
      </c>
      <c r="C273" s="8" t="s">
        <v>25</v>
      </c>
      <c r="D273" s="7" t="s">
        <v>993</v>
      </c>
      <c r="E273" s="7" t="s">
        <v>994</v>
      </c>
      <c r="F273" s="7" t="s">
        <v>970</v>
      </c>
      <c r="G273" s="9"/>
      <c r="H273" s="7" t="s">
        <v>100</v>
      </c>
      <c r="I273" s="7" t="s">
        <v>991</v>
      </c>
      <c r="J273" s="8" t="s">
        <v>21</v>
      </c>
      <c r="K273" s="6" t="s">
        <v>22</v>
      </c>
      <c r="L273" s="7"/>
      <c r="M273" s="8" t="s">
        <v>23</v>
      </c>
    </row>
    <row r="274" customFormat="false" ht="15" hidden="false" customHeight="false" outlineLevel="0" collapsed="false">
      <c r="A274" s="3" t="s">
        <v>995</v>
      </c>
      <c r="B274" s="3" t="s">
        <v>967</v>
      </c>
      <c r="C274" s="4" t="s">
        <v>31</v>
      </c>
      <c r="D274" s="3" t="s">
        <v>996</v>
      </c>
      <c r="E274" s="3" t="s">
        <v>997</v>
      </c>
      <c r="F274" s="3" t="s">
        <v>970</v>
      </c>
      <c r="G274" s="5"/>
      <c r="H274" s="3" t="s">
        <v>104</v>
      </c>
      <c r="I274" s="3" t="s">
        <v>991</v>
      </c>
      <c r="J274" s="4" t="s">
        <v>21</v>
      </c>
      <c r="K274" s="6" t="s">
        <v>22</v>
      </c>
      <c r="L274" s="3"/>
      <c r="M274" s="4" t="s">
        <v>23</v>
      </c>
    </row>
    <row r="275" customFormat="false" ht="15" hidden="false" customHeight="false" outlineLevel="0" collapsed="false">
      <c r="A275" s="7" t="s">
        <v>998</v>
      </c>
      <c r="B275" s="7" t="s">
        <v>967</v>
      </c>
      <c r="C275" s="8" t="s">
        <v>15</v>
      </c>
      <c r="D275" s="7" t="s">
        <v>999</v>
      </c>
      <c r="E275" s="7" t="s">
        <v>1000</v>
      </c>
      <c r="F275" s="7" t="s">
        <v>970</v>
      </c>
      <c r="G275" s="9"/>
      <c r="H275" s="7" t="s">
        <v>95</v>
      </c>
      <c r="I275" s="7" t="s">
        <v>1001</v>
      </c>
      <c r="J275" s="8" t="s">
        <v>21</v>
      </c>
      <c r="K275" s="6" t="s">
        <v>22</v>
      </c>
      <c r="L275" s="7"/>
      <c r="M275" s="8" t="s">
        <v>23</v>
      </c>
    </row>
    <row r="276" customFormat="false" ht="15" hidden="false" customHeight="false" outlineLevel="0" collapsed="false">
      <c r="A276" s="3" t="s">
        <v>1002</v>
      </c>
      <c r="B276" s="3" t="s">
        <v>967</v>
      </c>
      <c r="C276" s="4" t="s">
        <v>25</v>
      </c>
      <c r="D276" s="3" t="s">
        <v>1003</v>
      </c>
      <c r="E276" s="3" t="s">
        <v>1004</v>
      </c>
      <c r="F276" s="3" t="s">
        <v>970</v>
      </c>
      <c r="G276" s="5"/>
      <c r="H276" s="3" t="s">
        <v>100</v>
      </c>
      <c r="I276" s="3" t="s">
        <v>1001</v>
      </c>
      <c r="J276" s="4" t="s">
        <v>21</v>
      </c>
      <c r="K276" s="6" t="s">
        <v>22</v>
      </c>
      <c r="L276" s="3"/>
      <c r="M276" s="4" t="s">
        <v>23</v>
      </c>
    </row>
    <row r="277" customFormat="false" ht="15" hidden="false" customHeight="false" outlineLevel="0" collapsed="false">
      <c r="A277" s="7" t="s">
        <v>1005</v>
      </c>
      <c r="B277" s="7" t="s">
        <v>967</v>
      </c>
      <c r="C277" s="8" t="s">
        <v>31</v>
      </c>
      <c r="D277" s="7" t="s">
        <v>1006</v>
      </c>
      <c r="E277" s="7" t="s">
        <v>1007</v>
      </c>
      <c r="F277" s="7" t="s">
        <v>970</v>
      </c>
      <c r="G277" s="9"/>
      <c r="H277" s="7" t="s">
        <v>104</v>
      </c>
      <c r="I277" s="7" t="s">
        <v>1001</v>
      </c>
      <c r="J277" s="8" t="s">
        <v>21</v>
      </c>
      <c r="K277" s="6" t="s">
        <v>22</v>
      </c>
      <c r="L277" s="7"/>
      <c r="M277" s="8" t="s">
        <v>23</v>
      </c>
    </row>
    <row r="278" customFormat="false" ht="15" hidden="false" customHeight="false" outlineLevel="0" collapsed="false">
      <c r="A278" s="3" t="s">
        <v>1008</v>
      </c>
      <c r="B278" s="3" t="s">
        <v>967</v>
      </c>
      <c r="C278" s="4" t="s">
        <v>15</v>
      </c>
      <c r="D278" s="3" t="s">
        <v>1009</v>
      </c>
      <c r="E278" s="3" t="s">
        <v>1010</v>
      </c>
      <c r="F278" s="3" t="s">
        <v>970</v>
      </c>
      <c r="G278" s="5"/>
      <c r="H278" s="3" t="s">
        <v>95</v>
      </c>
      <c r="I278" s="3" t="s">
        <v>1011</v>
      </c>
      <c r="J278" s="4" t="s">
        <v>21</v>
      </c>
      <c r="K278" s="6" t="s">
        <v>22</v>
      </c>
      <c r="L278" s="3"/>
      <c r="M278" s="4" t="s">
        <v>23</v>
      </c>
    </row>
    <row r="279" customFormat="false" ht="15" hidden="false" customHeight="false" outlineLevel="0" collapsed="false">
      <c r="A279" s="7" t="s">
        <v>1012</v>
      </c>
      <c r="B279" s="7" t="s">
        <v>967</v>
      </c>
      <c r="C279" s="8" t="s">
        <v>25</v>
      </c>
      <c r="D279" s="7" t="s">
        <v>1013</v>
      </c>
      <c r="E279" s="7" t="s">
        <v>1014</v>
      </c>
      <c r="F279" s="7" t="s">
        <v>970</v>
      </c>
      <c r="G279" s="9"/>
      <c r="H279" s="7" t="s">
        <v>100</v>
      </c>
      <c r="I279" s="7" t="s">
        <v>1011</v>
      </c>
      <c r="J279" s="8" t="s">
        <v>21</v>
      </c>
      <c r="K279" s="6" t="s">
        <v>22</v>
      </c>
      <c r="L279" s="7"/>
      <c r="M279" s="8" t="s">
        <v>23</v>
      </c>
    </row>
    <row r="280" customFormat="false" ht="15" hidden="false" customHeight="false" outlineLevel="0" collapsed="false">
      <c r="A280" s="3" t="s">
        <v>1015</v>
      </c>
      <c r="B280" s="3" t="s">
        <v>967</v>
      </c>
      <c r="C280" s="4" t="s">
        <v>31</v>
      </c>
      <c r="D280" s="3" t="s">
        <v>1016</v>
      </c>
      <c r="E280" s="3" t="s">
        <v>1017</v>
      </c>
      <c r="F280" s="3" t="s">
        <v>970</v>
      </c>
      <c r="G280" s="5"/>
      <c r="H280" s="3" t="s">
        <v>104</v>
      </c>
      <c r="I280" s="3" t="s">
        <v>1011</v>
      </c>
      <c r="J280" s="4" t="s">
        <v>21</v>
      </c>
      <c r="K280" s="6" t="s">
        <v>22</v>
      </c>
      <c r="L280" s="3"/>
      <c r="M280" s="4" t="s">
        <v>23</v>
      </c>
    </row>
    <row r="281" customFormat="false" ht="15" hidden="false" customHeight="false" outlineLevel="0" collapsed="false">
      <c r="A281" s="7" t="s">
        <v>1018</v>
      </c>
      <c r="B281" s="7" t="s">
        <v>967</v>
      </c>
      <c r="C281" s="8" t="s">
        <v>15</v>
      </c>
      <c r="D281" s="7" t="s">
        <v>1019</v>
      </c>
      <c r="E281" s="7" t="s">
        <v>1020</v>
      </c>
      <c r="F281" s="7" t="s">
        <v>970</v>
      </c>
      <c r="G281" s="9"/>
      <c r="H281" s="7" t="s">
        <v>95</v>
      </c>
      <c r="I281" s="7" t="s">
        <v>1021</v>
      </c>
      <c r="J281" s="8" t="s">
        <v>21</v>
      </c>
      <c r="K281" s="6" t="s">
        <v>22</v>
      </c>
      <c r="L281" s="7"/>
      <c r="M281" s="8" t="s">
        <v>23</v>
      </c>
    </row>
    <row r="282" customFormat="false" ht="15" hidden="false" customHeight="false" outlineLevel="0" collapsed="false">
      <c r="A282" s="3" t="s">
        <v>1022</v>
      </c>
      <c r="B282" s="3" t="s">
        <v>967</v>
      </c>
      <c r="C282" s="4" t="s">
        <v>25</v>
      </c>
      <c r="D282" s="3" t="s">
        <v>1023</v>
      </c>
      <c r="E282" s="3" t="s">
        <v>1024</v>
      </c>
      <c r="F282" s="3" t="s">
        <v>970</v>
      </c>
      <c r="G282" s="5"/>
      <c r="H282" s="3" t="s">
        <v>100</v>
      </c>
      <c r="I282" s="3" t="s">
        <v>1021</v>
      </c>
      <c r="J282" s="4" t="s">
        <v>21</v>
      </c>
      <c r="K282" s="6" t="s">
        <v>22</v>
      </c>
      <c r="L282" s="3"/>
      <c r="M282" s="4" t="s">
        <v>23</v>
      </c>
    </row>
    <row r="283" customFormat="false" ht="15" hidden="false" customHeight="false" outlineLevel="0" collapsed="false">
      <c r="A283" s="7" t="s">
        <v>1025</v>
      </c>
      <c r="B283" s="7" t="s">
        <v>967</v>
      </c>
      <c r="C283" s="8" t="s">
        <v>31</v>
      </c>
      <c r="D283" s="7" t="s">
        <v>1026</v>
      </c>
      <c r="E283" s="7" t="s">
        <v>1027</v>
      </c>
      <c r="F283" s="7" t="s">
        <v>970</v>
      </c>
      <c r="G283" s="9"/>
      <c r="H283" s="7" t="s">
        <v>104</v>
      </c>
      <c r="I283" s="7" t="s">
        <v>1021</v>
      </c>
      <c r="J283" s="8" t="s">
        <v>21</v>
      </c>
      <c r="K283" s="6" t="s">
        <v>22</v>
      </c>
      <c r="L283" s="7"/>
      <c r="M283" s="8" t="s">
        <v>23</v>
      </c>
    </row>
    <row r="284" customFormat="false" ht="15" hidden="false" customHeight="false" outlineLevel="0" collapsed="false">
      <c r="A284" s="3" t="s">
        <v>1028</v>
      </c>
      <c r="B284" s="3" t="s">
        <v>91</v>
      </c>
      <c r="C284" s="4" t="s">
        <v>15</v>
      </c>
      <c r="D284" s="3" t="s">
        <v>1029</v>
      </c>
      <c r="E284" s="3" t="s">
        <v>1030</v>
      </c>
      <c r="F284" s="3" t="s">
        <v>804</v>
      </c>
      <c r="G284" s="5"/>
      <c r="H284" s="3" t="s">
        <v>95</v>
      </c>
      <c r="I284" s="3" t="s">
        <v>1031</v>
      </c>
      <c r="J284" s="4" t="s">
        <v>21</v>
      </c>
      <c r="K284" s="6" t="s">
        <v>22</v>
      </c>
      <c r="L284" s="3"/>
      <c r="M284" s="4" t="s">
        <v>23</v>
      </c>
    </row>
    <row r="285" customFormat="false" ht="15" hidden="false" customHeight="false" outlineLevel="0" collapsed="false">
      <c r="A285" s="7" t="s">
        <v>1032</v>
      </c>
      <c r="B285" s="7" t="s">
        <v>91</v>
      </c>
      <c r="C285" s="8" t="s">
        <v>25</v>
      </c>
      <c r="D285" s="7" t="s">
        <v>1033</v>
      </c>
      <c r="E285" s="7" t="s">
        <v>1034</v>
      </c>
      <c r="F285" s="7" t="s">
        <v>804</v>
      </c>
      <c r="G285" s="9"/>
      <c r="H285" s="7" t="s">
        <v>100</v>
      </c>
      <c r="I285" s="7" t="s">
        <v>1031</v>
      </c>
      <c r="J285" s="8" t="s">
        <v>21</v>
      </c>
      <c r="K285" s="6" t="s">
        <v>22</v>
      </c>
      <c r="L285" s="7"/>
      <c r="M285" s="8" t="s">
        <v>23</v>
      </c>
    </row>
    <row r="286" customFormat="false" ht="15" hidden="false" customHeight="false" outlineLevel="0" collapsed="false">
      <c r="A286" s="3" t="s">
        <v>1035</v>
      </c>
      <c r="B286" s="3" t="s">
        <v>91</v>
      </c>
      <c r="C286" s="4" t="s">
        <v>31</v>
      </c>
      <c r="D286" s="3" t="s">
        <v>1036</v>
      </c>
      <c r="E286" s="3" t="s">
        <v>1037</v>
      </c>
      <c r="F286" s="3" t="s">
        <v>804</v>
      </c>
      <c r="G286" s="5"/>
      <c r="H286" s="3" t="s">
        <v>104</v>
      </c>
      <c r="I286" s="3" t="s">
        <v>1031</v>
      </c>
      <c r="J286" s="4" t="s">
        <v>21</v>
      </c>
      <c r="K286" s="6" t="s">
        <v>22</v>
      </c>
      <c r="L286" s="3"/>
      <c r="M286" s="4" t="s">
        <v>23</v>
      </c>
    </row>
    <row r="287" customFormat="false" ht="15" hidden="false" customHeight="false" outlineLevel="0" collapsed="false">
      <c r="A287" s="7" t="s">
        <v>1038</v>
      </c>
      <c r="B287" s="7" t="s">
        <v>448</v>
      </c>
      <c r="C287" s="8" t="s">
        <v>15</v>
      </c>
      <c r="D287" s="7" t="s">
        <v>1039</v>
      </c>
      <c r="E287" s="7" t="s">
        <v>1040</v>
      </c>
      <c r="F287" s="7" t="s">
        <v>79</v>
      </c>
      <c r="G287" s="10" t="n">
        <v>2026</v>
      </c>
      <c r="H287" s="7" t="s">
        <v>80</v>
      </c>
      <c r="I287" s="7" t="s">
        <v>1041</v>
      </c>
      <c r="J287" s="8" t="s">
        <v>21</v>
      </c>
      <c r="K287" s="6" t="s">
        <v>22</v>
      </c>
      <c r="L287" s="7"/>
      <c r="M287" s="8" t="s">
        <v>23</v>
      </c>
    </row>
    <row r="288" customFormat="false" ht="15" hidden="false" customHeight="false" outlineLevel="0" collapsed="false">
      <c r="A288" s="3" t="s">
        <v>1042</v>
      </c>
      <c r="B288" s="3" t="s">
        <v>448</v>
      </c>
      <c r="C288" s="4" t="s">
        <v>25</v>
      </c>
      <c r="D288" s="3" t="s">
        <v>1043</v>
      </c>
      <c r="E288" s="3" t="s">
        <v>1044</v>
      </c>
      <c r="F288" s="3" t="s">
        <v>79</v>
      </c>
      <c r="G288" s="11" t="n">
        <v>2026</v>
      </c>
      <c r="H288" s="3" t="s">
        <v>85</v>
      </c>
      <c r="I288" s="3" t="s">
        <v>1041</v>
      </c>
      <c r="J288" s="4" t="s">
        <v>21</v>
      </c>
      <c r="K288" s="6" t="s">
        <v>22</v>
      </c>
      <c r="L288" s="3"/>
      <c r="M288" s="4" t="s">
        <v>23</v>
      </c>
    </row>
    <row r="289" customFormat="false" ht="15" hidden="false" customHeight="false" outlineLevel="0" collapsed="false">
      <c r="A289" s="7" t="s">
        <v>1045</v>
      </c>
      <c r="B289" s="7" t="s">
        <v>448</v>
      </c>
      <c r="C289" s="8" t="s">
        <v>31</v>
      </c>
      <c r="D289" s="7" t="s">
        <v>1046</v>
      </c>
      <c r="E289" s="7" t="s">
        <v>1047</v>
      </c>
      <c r="F289" s="7" t="s">
        <v>79</v>
      </c>
      <c r="G289" s="10" t="n">
        <v>2026</v>
      </c>
      <c r="H289" s="7" t="s">
        <v>89</v>
      </c>
      <c r="I289" s="7" t="s">
        <v>1041</v>
      </c>
      <c r="J289" s="8" t="s">
        <v>21</v>
      </c>
      <c r="K289" s="6" t="s">
        <v>22</v>
      </c>
      <c r="L289" s="7"/>
      <c r="M289" s="8" t="s">
        <v>23</v>
      </c>
    </row>
    <row r="290" customFormat="false" ht="15" hidden="false" customHeight="false" outlineLevel="0" collapsed="false">
      <c r="A290" s="3" t="s">
        <v>1048</v>
      </c>
      <c r="B290" s="3" t="s">
        <v>556</v>
      </c>
      <c r="C290" s="4" t="s">
        <v>15</v>
      </c>
      <c r="D290" s="3" t="s">
        <v>1049</v>
      </c>
      <c r="E290" s="3" t="s">
        <v>1050</v>
      </c>
      <c r="F290" s="3" t="s">
        <v>1051</v>
      </c>
      <c r="G290" s="11" t="n">
        <v>2026</v>
      </c>
      <c r="H290" s="3" t="s">
        <v>624</v>
      </c>
      <c r="I290" s="3" t="s">
        <v>1052</v>
      </c>
      <c r="J290" s="4" t="s">
        <v>21</v>
      </c>
      <c r="K290" s="6" t="s">
        <v>22</v>
      </c>
      <c r="L290" s="3"/>
      <c r="M290" s="4" t="s">
        <v>23</v>
      </c>
    </row>
    <row r="291" customFormat="false" ht="15" hidden="false" customHeight="false" outlineLevel="0" collapsed="false">
      <c r="A291" s="7" t="s">
        <v>1053</v>
      </c>
      <c r="B291" s="7" t="s">
        <v>556</v>
      </c>
      <c r="C291" s="8" t="s">
        <v>25</v>
      </c>
      <c r="D291" s="7" t="s">
        <v>1054</v>
      </c>
      <c r="E291" s="7" t="s">
        <v>1055</v>
      </c>
      <c r="F291" s="7" t="s">
        <v>1051</v>
      </c>
      <c r="G291" s="10" t="n">
        <v>2026</v>
      </c>
      <c r="H291" s="7" t="s">
        <v>629</v>
      </c>
      <c r="I291" s="7" t="s">
        <v>1052</v>
      </c>
      <c r="J291" s="8" t="s">
        <v>21</v>
      </c>
      <c r="K291" s="6" t="s">
        <v>22</v>
      </c>
      <c r="L291" s="7"/>
      <c r="M291" s="8" t="s">
        <v>23</v>
      </c>
    </row>
    <row r="292" customFormat="false" ht="15" hidden="false" customHeight="false" outlineLevel="0" collapsed="false">
      <c r="A292" s="3" t="s">
        <v>1056</v>
      </c>
      <c r="B292" s="3" t="s">
        <v>556</v>
      </c>
      <c r="C292" s="4" t="s">
        <v>31</v>
      </c>
      <c r="D292" s="3" t="s">
        <v>1057</v>
      </c>
      <c r="E292" s="3" t="s">
        <v>1058</v>
      </c>
      <c r="F292" s="3" t="s">
        <v>1051</v>
      </c>
      <c r="G292" s="11" t="n">
        <v>2026</v>
      </c>
      <c r="H292" s="3" t="s">
        <v>633</v>
      </c>
      <c r="I292" s="3" t="s">
        <v>1052</v>
      </c>
      <c r="J292" s="4" t="s">
        <v>21</v>
      </c>
      <c r="K292" s="6" t="s">
        <v>22</v>
      </c>
      <c r="L292" s="3"/>
      <c r="M292" s="4" t="s">
        <v>23</v>
      </c>
    </row>
    <row r="293" customFormat="false" ht="15" hidden="false" customHeight="false" outlineLevel="0" collapsed="false">
      <c r="A293" s="7" t="s">
        <v>1059</v>
      </c>
      <c r="B293" s="7" t="s">
        <v>1060</v>
      </c>
      <c r="C293" s="8" t="s">
        <v>15</v>
      </c>
      <c r="D293" s="7" t="s">
        <v>1061</v>
      </c>
      <c r="E293" s="7" t="s">
        <v>1062</v>
      </c>
      <c r="F293" s="7" t="s">
        <v>1063</v>
      </c>
      <c r="G293" s="10" t="n">
        <v>2026</v>
      </c>
      <c r="H293" s="7" t="s">
        <v>545</v>
      </c>
      <c r="I293" s="7" t="s">
        <v>1064</v>
      </c>
      <c r="J293" s="8" t="s">
        <v>21</v>
      </c>
      <c r="K293" s="6" t="s">
        <v>22</v>
      </c>
      <c r="L293" s="7"/>
      <c r="M293" s="8" t="s">
        <v>23</v>
      </c>
    </row>
    <row r="294" customFormat="false" ht="15" hidden="false" customHeight="false" outlineLevel="0" collapsed="false">
      <c r="A294" s="3" t="s">
        <v>1065</v>
      </c>
      <c r="B294" s="3" t="s">
        <v>1060</v>
      </c>
      <c r="C294" s="4" t="s">
        <v>25</v>
      </c>
      <c r="D294" s="3" t="s">
        <v>1066</v>
      </c>
      <c r="E294" s="3" t="s">
        <v>1067</v>
      </c>
      <c r="F294" s="3" t="s">
        <v>1068</v>
      </c>
      <c r="G294" s="11" t="n">
        <v>2026</v>
      </c>
      <c r="H294" s="3" t="s">
        <v>550</v>
      </c>
      <c r="I294" s="3" t="s">
        <v>1064</v>
      </c>
      <c r="J294" s="4" t="s">
        <v>21</v>
      </c>
      <c r="K294" s="6" t="s">
        <v>22</v>
      </c>
      <c r="L294" s="3"/>
      <c r="M294" s="4" t="s">
        <v>23</v>
      </c>
    </row>
    <row r="295" customFormat="false" ht="15" hidden="false" customHeight="false" outlineLevel="0" collapsed="false">
      <c r="A295" s="7" t="s">
        <v>1069</v>
      </c>
      <c r="B295" s="7" t="s">
        <v>1060</v>
      </c>
      <c r="C295" s="8" t="s">
        <v>31</v>
      </c>
      <c r="D295" s="7" t="s">
        <v>1070</v>
      </c>
      <c r="E295" s="7" t="s">
        <v>1071</v>
      </c>
      <c r="F295" s="7" t="s">
        <v>1072</v>
      </c>
      <c r="G295" s="10" t="n">
        <v>2026</v>
      </c>
      <c r="H295" s="7" t="s">
        <v>554</v>
      </c>
      <c r="I295" s="7" t="s">
        <v>1064</v>
      </c>
      <c r="J295" s="8" t="s">
        <v>21</v>
      </c>
      <c r="K295" s="6" t="s">
        <v>22</v>
      </c>
      <c r="L295" s="7"/>
      <c r="M295" s="8" t="s">
        <v>23</v>
      </c>
    </row>
    <row r="296" customFormat="false" ht="15" hidden="false" customHeight="false" outlineLevel="0" collapsed="false">
      <c r="A296" s="3" t="s">
        <v>1073</v>
      </c>
      <c r="B296" s="3" t="s">
        <v>91</v>
      </c>
      <c r="C296" s="4" t="s">
        <v>15</v>
      </c>
      <c r="D296" s="3" t="s">
        <v>1074</v>
      </c>
      <c r="E296" s="3" t="s">
        <v>1075</v>
      </c>
      <c r="F296" s="3" t="s">
        <v>804</v>
      </c>
      <c r="G296" s="5"/>
      <c r="H296" s="3" t="s">
        <v>278</v>
      </c>
      <c r="I296" s="3" t="s">
        <v>1076</v>
      </c>
      <c r="J296" s="4" t="s">
        <v>21</v>
      </c>
      <c r="K296" s="6" t="s">
        <v>22</v>
      </c>
      <c r="L296" s="3"/>
      <c r="M296" s="4" t="s">
        <v>23</v>
      </c>
    </row>
    <row r="297" customFormat="false" ht="15" hidden="false" customHeight="false" outlineLevel="0" collapsed="false">
      <c r="A297" s="7" t="s">
        <v>1077</v>
      </c>
      <c r="B297" s="7" t="s">
        <v>91</v>
      </c>
      <c r="C297" s="8" t="s">
        <v>25</v>
      </c>
      <c r="D297" s="7" t="s">
        <v>1078</v>
      </c>
      <c r="E297" s="7" t="s">
        <v>1079</v>
      </c>
      <c r="F297" s="7" t="s">
        <v>804</v>
      </c>
      <c r="G297" s="9"/>
      <c r="H297" s="7" t="s">
        <v>283</v>
      </c>
      <c r="I297" s="7" t="s">
        <v>1076</v>
      </c>
      <c r="J297" s="8" t="s">
        <v>21</v>
      </c>
      <c r="K297" s="6" t="s">
        <v>22</v>
      </c>
      <c r="L297" s="7"/>
      <c r="M297" s="8" t="s">
        <v>23</v>
      </c>
    </row>
    <row r="298" customFormat="false" ht="15" hidden="false" customHeight="false" outlineLevel="0" collapsed="false">
      <c r="A298" s="3" t="s">
        <v>1080</v>
      </c>
      <c r="B298" s="3" t="s">
        <v>91</v>
      </c>
      <c r="C298" s="4" t="s">
        <v>31</v>
      </c>
      <c r="D298" s="3" t="s">
        <v>1081</v>
      </c>
      <c r="E298" s="3" t="s">
        <v>1082</v>
      </c>
      <c r="F298" s="3" t="s">
        <v>804</v>
      </c>
      <c r="G298" s="5"/>
      <c r="H298" s="3" t="s">
        <v>287</v>
      </c>
      <c r="I298" s="3" t="s">
        <v>1076</v>
      </c>
      <c r="J298" s="4" t="s">
        <v>21</v>
      </c>
      <c r="K298" s="6" t="s">
        <v>22</v>
      </c>
      <c r="L298" s="3"/>
      <c r="M298" s="4" t="s">
        <v>23</v>
      </c>
    </row>
    <row r="299" customFormat="false" ht="15" hidden="false" customHeight="false" outlineLevel="0" collapsed="false">
      <c r="A299" s="7" t="s">
        <v>1083</v>
      </c>
      <c r="B299" s="7" t="s">
        <v>864</v>
      </c>
      <c r="C299" s="8" t="s">
        <v>15</v>
      </c>
      <c r="D299" s="7" t="s">
        <v>1084</v>
      </c>
      <c r="E299" s="7" t="s">
        <v>1085</v>
      </c>
      <c r="F299" s="7" t="s">
        <v>907</v>
      </c>
      <c r="G299" s="9"/>
      <c r="H299" s="7" t="s">
        <v>278</v>
      </c>
      <c r="I299" s="7" t="s">
        <v>1086</v>
      </c>
      <c r="J299" s="8" t="s">
        <v>21</v>
      </c>
      <c r="K299" s="6" t="s">
        <v>22</v>
      </c>
      <c r="L299" s="7"/>
      <c r="M299" s="8" t="s">
        <v>23</v>
      </c>
    </row>
    <row r="300" customFormat="false" ht="15" hidden="false" customHeight="false" outlineLevel="0" collapsed="false">
      <c r="A300" s="3" t="s">
        <v>1087</v>
      </c>
      <c r="B300" s="3" t="s">
        <v>864</v>
      </c>
      <c r="C300" s="4" t="s">
        <v>25</v>
      </c>
      <c r="D300" s="3" t="s">
        <v>1088</v>
      </c>
      <c r="E300" s="3" t="s">
        <v>1089</v>
      </c>
      <c r="F300" s="3" t="s">
        <v>907</v>
      </c>
      <c r="G300" s="5"/>
      <c r="H300" s="3" t="s">
        <v>283</v>
      </c>
      <c r="I300" s="3" t="s">
        <v>1086</v>
      </c>
      <c r="J300" s="4" t="s">
        <v>21</v>
      </c>
      <c r="K300" s="6" t="s">
        <v>22</v>
      </c>
      <c r="L300" s="3"/>
      <c r="M300" s="4" t="s">
        <v>23</v>
      </c>
    </row>
    <row r="301" customFormat="false" ht="15" hidden="false" customHeight="false" outlineLevel="0" collapsed="false">
      <c r="A301" s="7" t="s">
        <v>1090</v>
      </c>
      <c r="B301" s="7" t="s">
        <v>864</v>
      </c>
      <c r="C301" s="8" t="s">
        <v>31</v>
      </c>
      <c r="D301" s="7" t="s">
        <v>1091</v>
      </c>
      <c r="E301" s="7" t="s">
        <v>1092</v>
      </c>
      <c r="F301" s="7" t="s">
        <v>907</v>
      </c>
      <c r="G301" s="9"/>
      <c r="H301" s="7" t="s">
        <v>287</v>
      </c>
      <c r="I301" s="7" t="s">
        <v>1086</v>
      </c>
      <c r="J301" s="8" t="s">
        <v>21</v>
      </c>
      <c r="K301" s="6" t="s">
        <v>22</v>
      </c>
      <c r="L301" s="7"/>
      <c r="M301" s="8" t="s">
        <v>23</v>
      </c>
    </row>
    <row r="302" customFormat="false" ht="15" hidden="false" customHeight="false" outlineLevel="0" collapsed="false">
      <c r="A302" s="3" t="s">
        <v>1093</v>
      </c>
      <c r="B302" s="3" t="s">
        <v>1094</v>
      </c>
      <c r="C302" s="4" t="s">
        <v>15</v>
      </c>
      <c r="D302" s="3" t="s">
        <v>1095</v>
      </c>
      <c r="E302" s="3" t="s">
        <v>1096</v>
      </c>
      <c r="F302" s="3" t="s">
        <v>1097</v>
      </c>
      <c r="G302" s="5"/>
      <c r="H302" s="3" t="s">
        <v>1098</v>
      </c>
      <c r="I302" s="3" t="s">
        <v>1099</v>
      </c>
      <c r="J302" s="4" t="s">
        <v>21</v>
      </c>
      <c r="K302" s="6" t="s">
        <v>22</v>
      </c>
      <c r="L302" s="3"/>
      <c r="M302" s="4" t="s">
        <v>23</v>
      </c>
    </row>
    <row r="303" customFormat="false" ht="15" hidden="false" customHeight="false" outlineLevel="0" collapsed="false">
      <c r="A303" s="7" t="s">
        <v>1100</v>
      </c>
      <c r="B303" s="7" t="s">
        <v>1094</v>
      </c>
      <c r="C303" s="8" t="s">
        <v>25</v>
      </c>
      <c r="D303" s="7" t="s">
        <v>1101</v>
      </c>
      <c r="E303" s="7" t="s">
        <v>1102</v>
      </c>
      <c r="F303" s="7" t="s">
        <v>1097</v>
      </c>
      <c r="G303" s="9"/>
      <c r="H303" s="7" t="s">
        <v>1103</v>
      </c>
      <c r="I303" s="7" t="s">
        <v>1099</v>
      </c>
      <c r="J303" s="8" t="s">
        <v>21</v>
      </c>
      <c r="K303" s="6" t="s">
        <v>22</v>
      </c>
      <c r="L303" s="7"/>
      <c r="M303" s="8" t="s">
        <v>23</v>
      </c>
    </row>
    <row r="304" customFormat="false" ht="15" hidden="false" customHeight="false" outlineLevel="0" collapsed="false">
      <c r="A304" s="3" t="s">
        <v>1104</v>
      </c>
      <c r="B304" s="3" t="s">
        <v>1094</v>
      </c>
      <c r="C304" s="4" t="s">
        <v>31</v>
      </c>
      <c r="D304" s="3" t="s">
        <v>1105</v>
      </c>
      <c r="E304" s="3" t="s">
        <v>1106</v>
      </c>
      <c r="F304" s="3" t="s">
        <v>1097</v>
      </c>
      <c r="G304" s="5"/>
      <c r="H304" s="3" t="s">
        <v>1107</v>
      </c>
      <c r="I304" s="3" t="s">
        <v>1099</v>
      </c>
      <c r="J304" s="4" t="s">
        <v>21</v>
      </c>
      <c r="K304" s="6" t="s">
        <v>22</v>
      </c>
      <c r="L304" s="3"/>
      <c r="M304" s="4" t="s">
        <v>23</v>
      </c>
    </row>
    <row r="305" customFormat="false" ht="15" hidden="false" customHeight="false" outlineLevel="0" collapsed="false">
      <c r="A305" s="7" t="s">
        <v>1108</v>
      </c>
      <c r="B305" s="7" t="s">
        <v>1094</v>
      </c>
      <c r="C305" s="8" t="s">
        <v>15</v>
      </c>
      <c r="D305" s="7" t="s">
        <v>1109</v>
      </c>
      <c r="E305" s="7" t="s">
        <v>1110</v>
      </c>
      <c r="F305" s="7" t="s">
        <v>1097</v>
      </c>
      <c r="G305" s="9"/>
      <c r="H305" s="7" t="s">
        <v>1098</v>
      </c>
      <c r="I305" s="7" t="s">
        <v>1111</v>
      </c>
      <c r="J305" s="8" t="s">
        <v>21</v>
      </c>
      <c r="K305" s="6" t="s">
        <v>22</v>
      </c>
      <c r="L305" s="7"/>
      <c r="M305" s="8" t="s">
        <v>23</v>
      </c>
    </row>
    <row r="306" customFormat="false" ht="15" hidden="false" customHeight="false" outlineLevel="0" collapsed="false">
      <c r="A306" s="3" t="s">
        <v>1112</v>
      </c>
      <c r="B306" s="3" t="s">
        <v>1094</v>
      </c>
      <c r="C306" s="4" t="s">
        <v>25</v>
      </c>
      <c r="D306" s="3" t="s">
        <v>1113</v>
      </c>
      <c r="E306" s="3" t="s">
        <v>1114</v>
      </c>
      <c r="F306" s="3" t="s">
        <v>1097</v>
      </c>
      <c r="G306" s="5"/>
      <c r="H306" s="3" t="s">
        <v>1103</v>
      </c>
      <c r="I306" s="3" t="s">
        <v>1111</v>
      </c>
      <c r="J306" s="4" t="s">
        <v>21</v>
      </c>
      <c r="K306" s="6" t="s">
        <v>22</v>
      </c>
      <c r="L306" s="3"/>
      <c r="M306" s="4" t="s">
        <v>23</v>
      </c>
    </row>
    <row r="307" customFormat="false" ht="15" hidden="false" customHeight="false" outlineLevel="0" collapsed="false">
      <c r="A307" s="7" t="s">
        <v>1115</v>
      </c>
      <c r="B307" s="7" t="s">
        <v>1094</v>
      </c>
      <c r="C307" s="8" t="s">
        <v>31</v>
      </c>
      <c r="D307" s="7" t="s">
        <v>1116</v>
      </c>
      <c r="E307" s="7" t="s">
        <v>1117</v>
      </c>
      <c r="F307" s="7" t="s">
        <v>1097</v>
      </c>
      <c r="G307" s="9"/>
      <c r="H307" s="7" t="s">
        <v>1107</v>
      </c>
      <c r="I307" s="7" t="s">
        <v>1111</v>
      </c>
      <c r="J307" s="8" t="s">
        <v>21</v>
      </c>
      <c r="K307" s="6" t="s">
        <v>22</v>
      </c>
      <c r="L307" s="7"/>
      <c r="M307" s="8" t="s">
        <v>23</v>
      </c>
    </row>
    <row r="308" customFormat="false" ht="15" hidden="false" customHeight="false" outlineLevel="0" collapsed="false">
      <c r="A308" s="3" t="s">
        <v>1118</v>
      </c>
      <c r="B308" s="3" t="s">
        <v>1094</v>
      </c>
      <c r="C308" s="4" t="s">
        <v>15</v>
      </c>
      <c r="D308" s="3" t="s">
        <v>1119</v>
      </c>
      <c r="E308" s="3" t="s">
        <v>1120</v>
      </c>
      <c r="F308" s="3" t="s">
        <v>1097</v>
      </c>
      <c r="G308" s="5"/>
      <c r="H308" s="3" t="s">
        <v>1098</v>
      </c>
      <c r="I308" s="3" t="s">
        <v>1121</v>
      </c>
      <c r="J308" s="4" t="s">
        <v>21</v>
      </c>
      <c r="K308" s="6" t="s">
        <v>22</v>
      </c>
      <c r="L308" s="3"/>
      <c r="M308" s="4" t="s">
        <v>23</v>
      </c>
    </row>
    <row r="309" customFormat="false" ht="15" hidden="false" customHeight="false" outlineLevel="0" collapsed="false">
      <c r="A309" s="7" t="s">
        <v>1122</v>
      </c>
      <c r="B309" s="7" t="s">
        <v>1094</v>
      </c>
      <c r="C309" s="8" t="s">
        <v>25</v>
      </c>
      <c r="D309" s="7" t="s">
        <v>1123</v>
      </c>
      <c r="E309" s="7" t="s">
        <v>1124</v>
      </c>
      <c r="F309" s="7" t="s">
        <v>1097</v>
      </c>
      <c r="G309" s="9"/>
      <c r="H309" s="7" t="s">
        <v>1103</v>
      </c>
      <c r="I309" s="7" t="s">
        <v>1121</v>
      </c>
      <c r="J309" s="8" t="s">
        <v>21</v>
      </c>
      <c r="K309" s="6" t="s">
        <v>22</v>
      </c>
      <c r="L309" s="7"/>
      <c r="M309" s="8" t="s">
        <v>23</v>
      </c>
    </row>
    <row r="310" customFormat="false" ht="15" hidden="false" customHeight="false" outlineLevel="0" collapsed="false">
      <c r="A310" s="3" t="s">
        <v>1125</v>
      </c>
      <c r="B310" s="3" t="s">
        <v>1094</v>
      </c>
      <c r="C310" s="4" t="s">
        <v>31</v>
      </c>
      <c r="D310" s="3" t="s">
        <v>1126</v>
      </c>
      <c r="E310" s="3" t="s">
        <v>1127</v>
      </c>
      <c r="F310" s="3" t="s">
        <v>1097</v>
      </c>
      <c r="G310" s="5"/>
      <c r="H310" s="3" t="s">
        <v>1107</v>
      </c>
      <c r="I310" s="3" t="s">
        <v>1121</v>
      </c>
      <c r="J310" s="4" t="s">
        <v>21</v>
      </c>
      <c r="K310" s="6" t="s">
        <v>22</v>
      </c>
      <c r="L310" s="3"/>
      <c r="M310" s="4" t="s">
        <v>23</v>
      </c>
    </row>
    <row r="311" customFormat="false" ht="15" hidden="false" customHeight="false" outlineLevel="0" collapsed="false">
      <c r="A311" s="7" t="s">
        <v>1128</v>
      </c>
      <c r="B311" s="7" t="s">
        <v>1094</v>
      </c>
      <c r="C311" s="8" t="s">
        <v>15</v>
      </c>
      <c r="D311" s="7" t="s">
        <v>1129</v>
      </c>
      <c r="E311" s="7" t="s">
        <v>1130</v>
      </c>
      <c r="F311" s="7" t="s">
        <v>1097</v>
      </c>
      <c r="G311" s="9"/>
      <c r="H311" s="7" t="s">
        <v>1098</v>
      </c>
      <c r="I311" s="7" t="s">
        <v>1131</v>
      </c>
      <c r="J311" s="8" t="s">
        <v>21</v>
      </c>
      <c r="K311" s="6" t="s">
        <v>22</v>
      </c>
      <c r="L311" s="7"/>
      <c r="M311" s="8" t="s">
        <v>23</v>
      </c>
    </row>
    <row r="312" customFormat="false" ht="15" hidden="false" customHeight="false" outlineLevel="0" collapsed="false">
      <c r="A312" s="3" t="s">
        <v>1132</v>
      </c>
      <c r="B312" s="3" t="s">
        <v>1094</v>
      </c>
      <c r="C312" s="4" t="s">
        <v>25</v>
      </c>
      <c r="D312" s="3" t="s">
        <v>1133</v>
      </c>
      <c r="E312" s="3" t="s">
        <v>1134</v>
      </c>
      <c r="F312" s="3" t="s">
        <v>1097</v>
      </c>
      <c r="G312" s="5"/>
      <c r="H312" s="3" t="s">
        <v>1103</v>
      </c>
      <c r="I312" s="3" t="s">
        <v>1131</v>
      </c>
      <c r="J312" s="4" t="s">
        <v>21</v>
      </c>
      <c r="K312" s="6" t="s">
        <v>22</v>
      </c>
      <c r="L312" s="3"/>
      <c r="M312" s="4" t="s">
        <v>23</v>
      </c>
    </row>
    <row r="313" customFormat="false" ht="15" hidden="false" customHeight="false" outlineLevel="0" collapsed="false">
      <c r="A313" s="7" t="s">
        <v>1135</v>
      </c>
      <c r="B313" s="7" t="s">
        <v>1094</v>
      </c>
      <c r="C313" s="8" t="s">
        <v>31</v>
      </c>
      <c r="D313" s="7" t="s">
        <v>1136</v>
      </c>
      <c r="E313" s="7" t="s">
        <v>1137</v>
      </c>
      <c r="F313" s="7" t="s">
        <v>1097</v>
      </c>
      <c r="G313" s="9"/>
      <c r="H313" s="7" t="s">
        <v>1107</v>
      </c>
      <c r="I313" s="7" t="s">
        <v>1131</v>
      </c>
      <c r="J313" s="8" t="s">
        <v>21</v>
      </c>
      <c r="K313" s="6" t="s">
        <v>22</v>
      </c>
      <c r="L313" s="7"/>
      <c r="M313" s="8" t="s">
        <v>23</v>
      </c>
    </row>
    <row r="314" customFormat="false" ht="15" hidden="false" customHeight="false" outlineLevel="0" collapsed="false">
      <c r="A314" s="3" t="s">
        <v>1138</v>
      </c>
      <c r="B314" s="3" t="s">
        <v>1094</v>
      </c>
      <c r="C314" s="4" t="s">
        <v>15</v>
      </c>
      <c r="D314" s="3" t="s">
        <v>1139</v>
      </c>
      <c r="E314" s="3" t="s">
        <v>1140</v>
      </c>
      <c r="F314" s="3" t="s">
        <v>1097</v>
      </c>
      <c r="G314" s="5"/>
      <c r="H314" s="3" t="s">
        <v>1098</v>
      </c>
      <c r="I314" s="3" t="s">
        <v>1141</v>
      </c>
      <c r="J314" s="4" t="s">
        <v>21</v>
      </c>
      <c r="K314" s="6" t="s">
        <v>22</v>
      </c>
      <c r="L314" s="3"/>
      <c r="M314" s="4" t="s">
        <v>23</v>
      </c>
    </row>
    <row r="315" customFormat="false" ht="15" hidden="false" customHeight="false" outlineLevel="0" collapsed="false">
      <c r="A315" s="7" t="s">
        <v>1142</v>
      </c>
      <c r="B315" s="7" t="s">
        <v>1094</v>
      </c>
      <c r="C315" s="8" t="s">
        <v>25</v>
      </c>
      <c r="D315" s="7" t="s">
        <v>1143</v>
      </c>
      <c r="E315" s="7" t="s">
        <v>1144</v>
      </c>
      <c r="F315" s="7" t="s">
        <v>1097</v>
      </c>
      <c r="G315" s="9"/>
      <c r="H315" s="7" t="s">
        <v>1103</v>
      </c>
      <c r="I315" s="7" t="s">
        <v>1141</v>
      </c>
      <c r="J315" s="8" t="s">
        <v>21</v>
      </c>
      <c r="K315" s="6" t="s">
        <v>22</v>
      </c>
      <c r="L315" s="7"/>
      <c r="M315" s="8" t="s">
        <v>23</v>
      </c>
    </row>
    <row r="316" customFormat="false" ht="15" hidden="false" customHeight="false" outlineLevel="0" collapsed="false">
      <c r="A316" s="3" t="s">
        <v>1145</v>
      </c>
      <c r="B316" s="3" t="s">
        <v>1094</v>
      </c>
      <c r="C316" s="4" t="s">
        <v>31</v>
      </c>
      <c r="D316" s="3" t="s">
        <v>1146</v>
      </c>
      <c r="E316" s="3" t="s">
        <v>1147</v>
      </c>
      <c r="F316" s="3" t="s">
        <v>1097</v>
      </c>
      <c r="G316" s="5"/>
      <c r="H316" s="3" t="s">
        <v>1107</v>
      </c>
      <c r="I316" s="3" t="s">
        <v>1141</v>
      </c>
      <c r="J316" s="4" t="s">
        <v>21</v>
      </c>
      <c r="K316" s="6" t="s">
        <v>22</v>
      </c>
      <c r="L316" s="3"/>
      <c r="M316" s="4" t="s">
        <v>23</v>
      </c>
    </row>
    <row r="317" customFormat="false" ht="15" hidden="false" customHeight="false" outlineLevel="0" collapsed="false">
      <c r="A317" s="7" t="s">
        <v>1148</v>
      </c>
      <c r="B317" s="7" t="s">
        <v>1094</v>
      </c>
      <c r="C317" s="8" t="s">
        <v>15</v>
      </c>
      <c r="D317" s="7" t="s">
        <v>1149</v>
      </c>
      <c r="E317" s="7" t="s">
        <v>1150</v>
      </c>
      <c r="F317" s="7" t="s">
        <v>1097</v>
      </c>
      <c r="G317" s="9"/>
      <c r="H317" s="7" t="s">
        <v>1098</v>
      </c>
      <c r="I317" s="7" t="s">
        <v>1151</v>
      </c>
      <c r="J317" s="8" t="s">
        <v>21</v>
      </c>
      <c r="K317" s="6" t="s">
        <v>22</v>
      </c>
      <c r="L317" s="7"/>
      <c r="M317" s="8" t="s">
        <v>23</v>
      </c>
    </row>
    <row r="318" customFormat="false" ht="15" hidden="false" customHeight="false" outlineLevel="0" collapsed="false">
      <c r="A318" s="3" t="s">
        <v>1152</v>
      </c>
      <c r="B318" s="3" t="s">
        <v>1094</v>
      </c>
      <c r="C318" s="4" t="s">
        <v>25</v>
      </c>
      <c r="D318" s="3" t="s">
        <v>1153</v>
      </c>
      <c r="E318" s="3" t="s">
        <v>1154</v>
      </c>
      <c r="F318" s="3" t="s">
        <v>1097</v>
      </c>
      <c r="G318" s="5"/>
      <c r="H318" s="3" t="s">
        <v>1103</v>
      </c>
      <c r="I318" s="3" t="s">
        <v>1151</v>
      </c>
      <c r="J318" s="4" t="s">
        <v>21</v>
      </c>
      <c r="K318" s="6" t="s">
        <v>22</v>
      </c>
      <c r="L318" s="3"/>
      <c r="M318" s="4" t="s">
        <v>23</v>
      </c>
    </row>
    <row r="319" customFormat="false" ht="15" hidden="false" customHeight="false" outlineLevel="0" collapsed="false">
      <c r="A319" s="7" t="s">
        <v>1155</v>
      </c>
      <c r="B319" s="7" t="s">
        <v>1094</v>
      </c>
      <c r="C319" s="8" t="s">
        <v>31</v>
      </c>
      <c r="D319" s="7" t="s">
        <v>1156</v>
      </c>
      <c r="E319" s="7" t="s">
        <v>1157</v>
      </c>
      <c r="F319" s="7" t="s">
        <v>1097</v>
      </c>
      <c r="G319" s="9"/>
      <c r="H319" s="7" t="s">
        <v>1107</v>
      </c>
      <c r="I319" s="7" t="s">
        <v>1151</v>
      </c>
      <c r="J319" s="8" t="s">
        <v>21</v>
      </c>
      <c r="K319" s="6" t="s">
        <v>22</v>
      </c>
      <c r="L319" s="7"/>
      <c r="M319" s="8" t="s">
        <v>23</v>
      </c>
    </row>
    <row r="320" customFormat="false" ht="15" hidden="false" customHeight="false" outlineLevel="0" collapsed="false">
      <c r="A320" s="3" t="s">
        <v>1158</v>
      </c>
      <c r="B320" s="3" t="s">
        <v>1159</v>
      </c>
      <c r="C320" s="4" t="s">
        <v>15</v>
      </c>
      <c r="D320" s="3" t="s">
        <v>1160</v>
      </c>
      <c r="E320" s="3" t="s">
        <v>1161</v>
      </c>
      <c r="F320" s="3" t="s">
        <v>1162</v>
      </c>
      <c r="G320" s="5"/>
      <c r="H320" s="3" t="s">
        <v>1163</v>
      </c>
      <c r="I320" s="3" t="s">
        <v>1164</v>
      </c>
      <c r="J320" s="4" t="s">
        <v>21</v>
      </c>
      <c r="K320" s="6" t="s">
        <v>22</v>
      </c>
      <c r="L320" s="3"/>
      <c r="M320" s="4" t="s">
        <v>23</v>
      </c>
    </row>
    <row r="321" customFormat="false" ht="15" hidden="false" customHeight="false" outlineLevel="0" collapsed="false">
      <c r="A321" s="7" t="s">
        <v>1165</v>
      </c>
      <c r="B321" s="7" t="s">
        <v>1159</v>
      </c>
      <c r="C321" s="8" t="s">
        <v>25</v>
      </c>
      <c r="D321" s="7" t="s">
        <v>1166</v>
      </c>
      <c r="E321" s="7" t="s">
        <v>1167</v>
      </c>
      <c r="F321" s="7" t="s">
        <v>1162</v>
      </c>
      <c r="G321" s="9"/>
      <c r="H321" s="7" t="s">
        <v>1168</v>
      </c>
      <c r="I321" s="7" t="s">
        <v>1164</v>
      </c>
      <c r="J321" s="8" t="s">
        <v>21</v>
      </c>
      <c r="K321" s="6" t="s">
        <v>22</v>
      </c>
      <c r="L321" s="7"/>
      <c r="M321" s="8" t="s">
        <v>23</v>
      </c>
    </row>
    <row r="322" customFormat="false" ht="15" hidden="false" customHeight="false" outlineLevel="0" collapsed="false">
      <c r="A322" s="3" t="s">
        <v>1169</v>
      </c>
      <c r="B322" s="3" t="s">
        <v>1159</v>
      </c>
      <c r="C322" s="4" t="s">
        <v>31</v>
      </c>
      <c r="D322" s="3" t="s">
        <v>1170</v>
      </c>
      <c r="E322" s="3" t="s">
        <v>1171</v>
      </c>
      <c r="F322" s="3" t="s">
        <v>1162</v>
      </c>
      <c r="G322" s="5"/>
      <c r="H322" s="3" t="s">
        <v>1172</v>
      </c>
      <c r="I322" s="3" t="s">
        <v>1164</v>
      </c>
      <c r="J322" s="4" t="s">
        <v>21</v>
      </c>
      <c r="K322" s="6" t="s">
        <v>22</v>
      </c>
      <c r="L322" s="3"/>
      <c r="M322" s="4" t="s">
        <v>23</v>
      </c>
    </row>
    <row r="323" customFormat="false" ht="15" hidden="false" customHeight="false" outlineLevel="0" collapsed="false">
      <c r="A323" s="7" t="s">
        <v>1173</v>
      </c>
      <c r="B323" s="7" t="s">
        <v>1159</v>
      </c>
      <c r="C323" s="8" t="s">
        <v>15</v>
      </c>
      <c r="D323" s="7" t="s">
        <v>1174</v>
      </c>
      <c r="E323" s="7" t="s">
        <v>1175</v>
      </c>
      <c r="F323" s="7" t="s">
        <v>1176</v>
      </c>
      <c r="G323" s="9"/>
      <c r="H323" s="7" t="s">
        <v>1163</v>
      </c>
      <c r="I323" s="7" t="s">
        <v>1177</v>
      </c>
      <c r="J323" s="8" t="s">
        <v>21</v>
      </c>
      <c r="K323" s="6" t="s">
        <v>22</v>
      </c>
      <c r="L323" s="7"/>
      <c r="M323" s="8" t="s">
        <v>23</v>
      </c>
    </row>
    <row r="324" customFormat="false" ht="15" hidden="false" customHeight="false" outlineLevel="0" collapsed="false">
      <c r="A324" s="3" t="s">
        <v>1178</v>
      </c>
      <c r="B324" s="3" t="s">
        <v>1159</v>
      </c>
      <c r="C324" s="4" t="s">
        <v>25</v>
      </c>
      <c r="D324" s="3" t="s">
        <v>1179</v>
      </c>
      <c r="E324" s="3" t="s">
        <v>1180</v>
      </c>
      <c r="F324" s="3" t="s">
        <v>1176</v>
      </c>
      <c r="G324" s="5"/>
      <c r="H324" s="3" t="s">
        <v>1168</v>
      </c>
      <c r="I324" s="3" t="s">
        <v>1177</v>
      </c>
      <c r="J324" s="4" t="s">
        <v>21</v>
      </c>
      <c r="K324" s="6" t="s">
        <v>22</v>
      </c>
      <c r="L324" s="3"/>
      <c r="M324" s="4" t="s">
        <v>23</v>
      </c>
    </row>
    <row r="325" customFormat="false" ht="15" hidden="false" customHeight="false" outlineLevel="0" collapsed="false">
      <c r="A325" s="7" t="s">
        <v>1181</v>
      </c>
      <c r="B325" s="7" t="s">
        <v>1159</v>
      </c>
      <c r="C325" s="8" t="s">
        <v>31</v>
      </c>
      <c r="D325" s="7" t="s">
        <v>1182</v>
      </c>
      <c r="E325" s="7" t="s">
        <v>1183</v>
      </c>
      <c r="F325" s="7" t="s">
        <v>1176</v>
      </c>
      <c r="G325" s="9"/>
      <c r="H325" s="7" t="s">
        <v>1172</v>
      </c>
      <c r="I325" s="7" t="s">
        <v>1177</v>
      </c>
      <c r="J325" s="8" t="s">
        <v>21</v>
      </c>
      <c r="K325" s="6" t="s">
        <v>22</v>
      </c>
      <c r="L325" s="7"/>
      <c r="M325" s="8" t="s">
        <v>23</v>
      </c>
    </row>
    <row r="326" customFormat="false" ht="15" hidden="false" customHeight="false" outlineLevel="0" collapsed="false">
      <c r="A326" s="3" t="s">
        <v>1184</v>
      </c>
      <c r="B326" s="3" t="s">
        <v>1159</v>
      </c>
      <c r="C326" s="4" t="s">
        <v>15</v>
      </c>
      <c r="D326" s="3" t="s">
        <v>1185</v>
      </c>
      <c r="E326" s="3" t="s">
        <v>1186</v>
      </c>
      <c r="F326" s="3" t="s">
        <v>1187</v>
      </c>
      <c r="G326" s="5"/>
      <c r="H326" s="3" t="s">
        <v>1163</v>
      </c>
      <c r="I326" s="3" t="s">
        <v>1188</v>
      </c>
      <c r="J326" s="4" t="s">
        <v>21</v>
      </c>
      <c r="K326" s="6" t="s">
        <v>22</v>
      </c>
      <c r="L326" s="3"/>
      <c r="M326" s="4" t="s">
        <v>23</v>
      </c>
    </row>
    <row r="327" customFormat="false" ht="15" hidden="false" customHeight="false" outlineLevel="0" collapsed="false">
      <c r="A327" s="7" t="s">
        <v>1189</v>
      </c>
      <c r="B327" s="7" t="s">
        <v>1159</v>
      </c>
      <c r="C327" s="8" t="s">
        <v>25</v>
      </c>
      <c r="D327" s="7" t="s">
        <v>1190</v>
      </c>
      <c r="E327" s="7" t="s">
        <v>1191</v>
      </c>
      <c r="F327" s="7" t="s">
        <v>1187</v>
      </c>
      <c r="G327" s="9"/>
      <c r="H327" s="7" t="s">
        <v>1168</v>
      </c>
      <c r="I327" s="7" t="s">
        <v>1188</v>
      </c>
      <c r="J327" s="8" t="s">
        <v>21</v>
      </c>
      <c r="K327" s="6" t="s">
        <v>22</v>
      </c>
      <c r="L327" s="7"/>
      <c r="M327" s="8" t="s">
        <v>23</v>
      </c>
    </row>
    <row r="328" customFormat="false" ht="15" hidden="false" customHeight="false" outlineLevel="0" collapsed="false">
      <c r="A328" s="3" t="s">
        <v>1192</v>
      </c>
      <c r="B328" s="3" t="s">
        <v>1159</v>
      </c>
      <c r="C328" s="4" t="s">
        <v>31</v>
      </c>
      <c r="D328" s="3" t="s">
        <v>1193</v>
      </c>
      <c r="E328" s="3" t="s">
        <v>1194</v>
      </c>
      <c r="F328" s="3" t="s">
        <v>1187</v>
      </c>
      <c r="G328" s="5"/>
      <c r="H328" s="3" t="s">
        <v>1172</v>
      </c>
      <c r="I328" s="3" t="s">
        <v>1188</v>
      </c>
      <c r="J328" s="4" t="s">
        <v>21</v>
      </c>
      <c r="K328" s="6" t="s">
        <v>22</v>
      </c>
      <c r="L328" s="3"/>
      <c r="M328" s="4" t="s">
        <v>23</v>
      </c>
    </row>
    <row r="329" customFormat="false" ht="15" hidden="false" customHeight="false" outlineLevel="0" collapsed="false">
      <c r="A329" s="7" t="s">
        <v>1195</v>
      </c>
      <c r="B329" s="7" t="s">
        <v>1159</v>
      </c>
      <c r="C329" s="8" t="s">
        <v>15</v>
      </c>
      <c r="D329" s="7" t="s">
        <v>1196</v>
      </c>
      <c r="E329" s="7" t="s">
        <v>1197</v>
      </c>
      <c r="F329" s="7" t="s">
        <v>1198</v>
      </c>
      <c r="G329" s="9"/>
      <c r="H329" s="7" t="s">
        <v>1163</v>
      </c>
      <c r="I329" s="7" t="s">
        <v>1199</v>
      </c>
      <c r="J329" s="8" t="s">
        <v>21</v>
      </c>
      <c r="K329" s="6" t="s">
        <v>22</v>
      </c>
      <c r="L329" s="7"/>
      <c r="M329" s="8" t="s">
        <v>23</v>
      </c>
    </row>
    <row r="330" customFormat="false" ht="15" hidden="false" customHeight="false" outlineLevel="0" collapsed="false">
      <c r="A330" s="3" t="s">
        <v>1200</v>
      </c>
      <c r="B330" s="3" t="s">
        <v>1159</v>
      </c>
      <c r="C330" s="4" t="s">
        <v>25</v>
      </c>
      <c r="D330" s="3" t="s">
        <v>1201</v>
      </c>
      <c r="E330" s="3" t="s">
        <v>1202</v>
      </c>
      <c r="F330" s="3" t="s">
        <v>1198</v>
      </c>
      <c r="G330" s="5"/>
      <c r="H330" s="3" t="s">
        <v>1168</v>
      </c>
      <c r="I330" s="3" t="s">
        <v>1199</v>
      </c>
      <c r="J330" s="4" t="s">
        <v>21</v>
      </c>
      <c r="K330" s="6" t="s">
        <v>22</v>
      </c>
      <c r="L330" s="3"/>
      <c r="M330" s="4" t="s">
        <v>23</v>
      </c>
    </row>
    <row r="331" customFormat="false" ht="15" hidden="false" customHeight="false" outlineLevel="0" collapsed="false">
      <c r="A331" s="7" t="s">
        <v>1203</v>
      </c>
      <c r="B331" s="7" t="s">
        <v>1159</v>
      </c>
      <c r="C331" s="8" t="s">
        <v>31</v>
      </c>
      <c r="D331" s="7" t="s">
        <v>1204</v>
      </c>
      <c r="E331" s="7" t="s">
        <v>1205</v>
      </c>
      <c r="F331" s="7" t="s">
        <v>1198</v>
      </c>
      <c r="G331" s="9"/>
      <c r="H331" s="7" t="s">
        <v>1172</v>
      </c>
      <c r="I331" s="7" t="s">
        <v>1199</v>
      </c>
      <c r="J331" s="8" t="s">
        <v>21</v>
      </c>
      <c r="K331" s="6" t="s">
        <v>22</v>
      </c>
      <c r="L331" s="7"/>
      <c r="M331" s="8" t="s">
        <v>23</v>
      </c>
    </row>
    <row r="332" customFormat="false" ht="15" hidden="false" customHeight="false" outlineLevel="0" collapsed="false">
      <c r="A332" s="3" t="s">
        <v>1206</v>
      </c>
      <c r="B332" s="3" t="s">
        <v>1159</v>
      </c>
      <c r="C332" s="4" t="s">
        <v>15</v>
      </c>
      <c r="D332" s="3" t="s">
        <v>1207</v>
      </c>
      <c r="E332" s="3" t="s">
        <v>1208</v>
      </c>
      <c r="F332" s="3" t="s">
        <v>1198</v>
      </c>
      <c r="G332" s="5"/>
      <c r="H332" s="3" t="s">
        <v>1163</v>
      </c>
      <c r="I332" s="3" t="s">
        <v>1209</v>
      </c>
      <c r="J332" s="4" t="s">
        <v>21</v>
      </c>
      <c r="K332" s="6" t="s">
        <v>22</v>
      </c>
      <c r="L332" s="3"/>
      <c r="M332" s="4" t="s">
        <v>23</v>
      </c>
    </row>
    <row r="333" customFormat="false" ht="15" hidden="false" customHeight="false" outlineLevel="0" collapsed="false">
      <c r="A333" s="7" t="s">
        <v>1210</v>
      </c>
      <c r="B333" s="7" t="s">
        <v>1159</v>
      </c>
      <c r="C333" s="8" t="s">
        <v>25</v>
      </c>
      <c r="D333" s="7" t="s">
        <v>1211</v>
      </c>
      <c r="E333" s="7" t="s">
        <v>1212</v>
      </c>
      <c r="F333" s="7" t="s">
        <v>1198</v>
      </c>
      <c r="G333" s="9"/>
      <c r="H333" s="7" t="s">
        <v>1168</v>
      </c>
      <c r="I333" s="7" t="s">
        <v>1209</v>
      </c>
      <c r="J333" s="8" t="s">
        <v>21</v>
      </c>
      <c r="K333" s="6" t="s">
        <v>22</v>
      </c>
      <c r="L333" s="7"/>
      <c r="M333" s="8" t="s">
        <v>23</v>
      </c>
    </row>
    <row r="334" customFormat="false" ht="15" hidden="false" customHeight="false" outlineLevel="0" collapsed="false">
      <c r="A334" s="3" t="s">
        <v>1213</v>
      </c>
      <c r="B334" s="3" t="s">
        <v>1159</v>
      </c>
      <c r="C334" s="4" t="s">
        <v>31</v>
      </c>
      <c r="D334" s="3" t="s">
        <v>1214</v>
      </c>
      <c r="E334" s="3" t="s">
        <v>1215</v>
      </c>
      <c r="F334" s="3" t="s">
        <v>1198</v>
      </c>
      <c r="G334" s="5"/>
      <c r="H334" s="3" t="s">
        <v>1172</v>
      </c>
      <c r="I334" s="3" t="s">
        <v>1209</v>
      </c>
      <c r="J334" s="4" t="s">
        <v>21</v>
      </c>
      <c r="K334" s="6" t="s">
        <v>22</v>
      </c>
      <c r="L334" s="3"/>
      <c r="M334" s="4" t="s">
        <v>23</v>
      </c>
    </row>
    <row r="335" customFormat="false" ht="15" hidden="false" customHeight="false" outlineLevel="0" collapsed="false">
      <c r="A335" s="7" t="s">
        <v>1216</v>
      </c>
      <c r="B335" s="7" t="s">
        <v>1159</v>
      </c>
      <c r="C335" s="8" t="s">
        <v>15</v>
      </c>
      <c r="D335" s="7" t="s">
        <v>1217</v>
      </c>
      <c r="E335" s="7" t="s">
        <v>1218</v>
      </c>
      <c r="F335" s="7" t="s">
        <v>1176</v>
      </c>
      <c r="G335" s="9"/>
      <c r="H335" s="7" t="s">
        <v>1163</v>
      </c>
      <c r="I335" s="7" t="s">
        <v>1219</v>
      </c>
      <c r="J335" s="8" t="s">
        <v>21</v>
      </c>
      <c r="K335" s="6" t="s">
        <v>22</v>
      </c>
      <c r="L335" s="7"/>
      <c r="M335" s="8" t="s">
        <v>23</v>
      </c>
    </row>
    <row r="336" customFormat="false" ht="15" hidden="false" customHeight="false" outlineLevel="0" collapsed="false">
      <c r="A336" s="3" t="s">
        <v>1220</v>
      </c>
      <c r="B336" s="3" t="s">
        <v>1159</v>
      </c>
      <c r="C336" s="4" t="s">
        <v>25</v>
      </c>
      <c r="D336" s="3" t="s">
        <v>1221</v>
      </c>
      <c r="E336" s="3" t="s">
        <v>1222</v>
      </c>
      <c r="F336" s="3" t="s">
        <v>1176</v>
      </c>
      <c r="G336" s="5"/>
      <c r="H336" s="3" t="s">
        <v>1168</v>
      </c>
      <c r="I336" s="3" t="s">
        <v>1219</v>
      </c>
      <c r="J336" s="4" t="s">
        <v>21</v>
      </c>
      <c r="K336" s="6" t="s">
        <v>22</v>
      </c>
      <c r="L336" s="3"/>
      <c r="M336" s="4" t="s">
        <v>23</v>
      </c>
    </row>
    <row r="337" customFormat="false" ht="15" hidden="false" customHeight="false" outlineLevel="0" collapsed="false">
      <c r="A337" s="7" t="s">
        <v>1223</v>
      </c>
      <c r="B337" s="7" t="s">
        <v>1159</v>
      </c>
      <c r="C337" s="8" t="s">
        <v>31</v>
      </c>
      <c r="D337" s="7" t="s">
        <v>1224</v>
      </c>
      <c r="E337" s="7" t="s">
        <v>1225</v>
      </c>
      <c r="F337" s="7" t="s">
        <v>1176</v>
      </c>
      <c r="G337" s="9"/>
      <c r="H337" s="7" t="s">
        <v>1172</v>
      </c>
      <c r="I337" s="7" t="s">
        <v>1219</v>
      </c>
      <c r="J337" s="8" t="s">
        <v>21</v>
      </c>
      <c r="K337" s="6" t="s">
        <v>22</v>
      </c>
      <c r="L337" s="7"/>
      <c r="M337" s="8" t="s">
        <v>23</v>
      </c>
    </row>
    <row r="338" customFormat="false" ht="15" hidden="false" customHeight="false" outlineLevel="0" collapsed="false">
      <c r="A338" s="3" t="s">
        <v>1226</v>
      </c>
      <c r="B338" s="3" t="s">
        <v>1060</v>
      </c>
      <c r="C338" s="4" t="s">
        <v>15</v>
      </c>
      <c r="D338" s="3" t="s">
        <v>1227</v>
      </c>
      <c r="E338" s="3" t="s">
        <v>1228</v>
      </c>
      <c r="F338" s="3" t="s">
        <v>1229</v>
      </c>
      <c r="G338" s="5"/>
      <c r="H338" s="3" t="s">
        <v>1163</v>
      </c>
      <c r="I338" s="3" t="s">
        <v>1230</v>
      </c>
      <c r="J338" s="4" t="s">
        <v>21</v>
      </c>
      <c r="K338" s="6" t="s">
        <v>22</v>
      </c>
      <c r="L338" s="3"/>
      <c r="M338" s="4" t="s">
        <v>23</v>
      </c>
    </row>
    <row r="339" customFormat="false" ht="15" hidden="false" customHeight="false" outlineLevel="0" collapsed="false">
      <c r="A339" s="7" t="s">
        <v>1231</v>
      </c>
      <c r="B339" s="7" t="s">
        <v>1060</v>
      </c>
      <c r="C339" s="8" t="s">
        <v>25</v>
      </c>
      <c r="D339" s="7" t="s">
        <v>1232</v>
      </c>
      <c r="E339" s="7" t="s">
        <v>1233</v>
      </c>
      <c r="F339" s="7" t="s">
        <v>1229</v>
      </c>
      <c r="G339" s="9"/>
      <c r="H339" s="7" t="s">
        <v>1168</v>
      </c>
      <c r="I339" s="7" t="s">
        <v>1230</v>
      </c>
      <c r="J339" s="8" t="s">
        <v>21</v>
      </c>
      <c r="K339" s="6" t="s">
        <v>22</v>
      </c>
      <c r="L339" s="7"/>
      <c r="M339" s="8" t="s">
        <v>23</v>
      </c>
    </row>
    <row r="340" customFormat="false" ht="15" hidden="false" customHeight="false" outlineLevel="0" collapsed="false">
      <c r="A340" s="3" t="s">
        <v>1234</v>
      </c>
      <c r="B340" s="3" t="s">
        <v>1060</v>
      </c>
      <c r="C340" s="4" t="s">
        <v>31</v>
      </c>
      <c r="D340" s="3" t="s">
        <v>1235</v>
      </c>
      <c r="E340" s="3" t="s">
        <v>1236</v>
      </c>
      <c r="F340" s="3" t="s">
        <v>1229</v>
      </c>
      <c r="G340" s="5"/>
      <c r="H340" s="3" t="s">
        <v>1172</v>
      </c>
      <c r="I340" s="3" t="s">
        <v>1230</v>
      </c>
      <c r="J340" s="4" t="s">
        <v>21</v>
      </c>
      <c r="K340" s="6" t="s">
        <v>22</v>
      </c>
      <c r="L340" s="3"/>
      <c r="M340" s="4" t="s">
        <v>23</v>
      </c>
    </row>
    <row r="341" customFormat="false" ht="15" hidden="false" customHeight="false" outlineLevel="0" collapsed="false">
      <c r="A341" s="7" t="s">
        <v>1237</v>
      </c>
      <c r="B341" s="7" t="s">
        <v>1060</v>
      </c>
      <c r="C341" s="8" t="s">
        <v>15</v>
      </c>
      <c r="D341" s="7" t="s">
        <v>1238</v>
      </c>
      <c r="E341" s="7" t="s">
        <v>1239</v>
      </c>
      <c r="F341" s="7" t="s">
        <v>1229</v>
      </c>
      <c r="G341" s="9"/>
      <c r="H341" s="7" t="s">
        <v>1163</v>
      </c>
      <c r="I341" s="7" t="s">
        <v>1240</v>
      </c>
      <c r="J341" s="8" t="s">
        <v>21</v>
      </c>
      <c r="K341" s="6" t="s">
        <v>22</v>
      </c>
      <c r="L341" s="7"/>
      <c r="M341" s="8" t="s">
        <v>23</v>
      </c>
    </row>
    <row r="342" customFormat="false" ht="15" hidden="false" customHeight="false" outlineLevel="0" collapsed="false">
      <c r="A342" s="3" t="s">
        <v>1241</v>
      </c>
      <c r="B342" s="3" t="s">
        <v>1060</v>
      </c>
      <c r="C342" s="4" t="s">
        <v>25</v>
      </c>
      <c r="D342" s="3" t="s">
        <v>1242</v>
      </c>
      <c r="E342" s="3" t="s">
        <v>1243</v>
      </c>
      <c r="F342" s="3" t="s">
        <v>1229</v>
      </c>
      <c r="G342" s="5"/>
      <c r="H342" s="3" t="s">
        <v>1168</v>
      </c>
      <c r="I342" s="3" t="s">
        <v>1240</v>
      </c>
      <c r="J342" s="4" t="s">
        <v>21</v>
      </c>
      <c r="K342" s="6" t="s">
        <v>22</v>
      </c>
      <c r="L342" s="3"/>
      <c r="M342" s="4" t="s">
        <v>23</v>
      </c>
    </row>
    <row r="343" customFormat="false" ht="15" hidden="false" customHeight="false" outlineLevel="0" collapsed="false">
      <c r="A343" s="7" t="s">
        <v>1244</v>
      </c>
      <c r="B343" s="7" t="s">
        <v>1060</v>
      </c>
      <c r="C343" s="8" t="s">
        <v>31</v>
      </c>
      <c r="D343" s="7" t="s">
        <v>1245</v>
      </c>
      <c r="E343" s="7" t="s">
        <v>1246</v>
      </c>
      <c r="F343" s="7" t="s">
        <v>1229</v>
      </c>
      <c r="G343" s="9"/>
      <c r="H343" s="7" t="s">
        <v>1172</v>
      </c>
      <c r="I343" s="7" t="s">
        <v>1240</v>
      </c>
      <c r="J343" s="8" t="s">
        <v>21</v>
      </c>
      <c r="K343" s="6" t="s">
        <v>22</v>
      </c>
      <c r="L343" s="7"/>
      <c r="M343" s="8" t="s">
        <v>23</v>
      </c>
    </row>
    <row r="344" customFormat="false" ht="15" hidden="false" customHeight="false" outlineLevel="0" collapsed="false">
      <c r="A344" s="3" t="s">
        <v>1247</v>
      </c>
      <c r="B344" s="3" t="s">
        <v>1060</v>
      </c>
      <c r="C344" s="4" t="s">
        <v>15</v>
      </c>
      <c r="D344" s="3" t="s">
        <v>1248</v>
      </c>
      <c r="E344" s="3" t="s">
        <v>1249</v>
      </c>
      <c r="F344" s="3" t="s">
        <v>1229</v>
      </c>
      <c r="G344" s="5"/>
      <c r="H344" s="3" t="s">
        <v>1163</v>
      </c>
      <c r="I344" s="3" t="s">
        <v>1250</v>
      </c>
      <c r="J344" s="4" t="s">
        <v>21</v>
      </c>
      <c r="K344" s="6" t="s">
        <v>22</v>
      </c>
      <c r="L344" s="3"/>
      <c r="M344" s="4" t="s">
        <v>23</v>
      </c>
    </row>
    <row r="345" customFormat="false" ht="15" hidden="false" customHeight="false" outlineLevel="0" collapsed="false">
      <c r="A345" s="7" t="s">
        <v>1251</v>
      </c>
      <c r="B345" s="7" t="s">
        <v>1060</v>
      </c>
      <c r="C345" s="8" t="s">
        <v>25</v>
      </c>
      <c r="D345" s="7" t="s">
        <v>1252</v>
      </c>
      <c r="E345" s="7" t="s">
        <v>1253</v>
      </c>
      <c r="F345" s="7" t="s">
        <v>1229</v>
      </c>
      <c r="G345" s="9"/>
      <c r="H345" s="7" t="s">
        <v>1168</v>
      </c>
      <c r="I345" s="7" t="s">
        <v>1250</v>
      </c>
      <c r="J345" s="8" t="s">
        <v>21</v>
      </c>
      <c r="K345" s="6" t="s">
        <v>22</v>
      </c>
      <c r="L345" s="7"/>
      <c r="M345" s="8" t="s">
        <v>23</v>
      </c>
    </row>
    <row r="346" customFormat="false" ht="15" hidden="false" customHeight="false" outlineLevel="0" collapsed="false">
      <c r="A346" s="3" t="s">
        <v>1254</v>
      </c>
      <c r="B346" s="3" t="s">
        <v>1060</v>
      </c>
      <c r="C346" s="4" t="s">
        <v>31</v>
      </c>
      <c r="D346" s="3" t="s">
        <v>1255</v>
      </c>
      <c r="E346" s="3" t="s">
        <v>1256</v>
      </c>
      <c r="F346" s="3" t="s">
        <v>1229</v>
      </c>
      <c r="G346" s="5"/>
      <c r="H346" s="3" t="s">
        <v>1172</v>
      </c>
      <c r="I346" s="3" t="s">
        <v>1250</v>
      </c>
      <c r="J346" s="4" t="s">
        <v>21</v>
      </c>
      <c r="K346" s="6" t="s">
        <v>22</v>
      </c>
      <c r="L346" s="3"/>
      <c r="M346" s="4" t="s">
        <v>23</v>
      </c>
    </row>
    <row r="347" customFormat="false" ht="15" hidden="false" customHeight="false" outlineLevel="0" collapsed="false">
      <c r="A347" s="7" t="s">
        <v>1257</v>
      </c>
      <c r="B347" s="7" t="s">
        <v>1060</v>
      </c>
      <c r="C347" s="8" t="s">
        <v>15</v>
      </c>
      <c r="D347" s="7" t="s">
        <v>1258</v>
      </c>
      <c r="E347" s="7" t="s">
        <v>1259</v>
      </c>
      <c r="F347" s="7" t="s">
        <v>1229</v>
      </c>
      <c r="G347" s="9"/>
      <c r="H347" s="7" t="s">
        <v>1163</v>
      </c>
      <c r="I347" s="7" t="s">
        <v>1260</v>
      </c>
      <c r="J347" s="8" t="s">
        <v>21</v>
      </c>
      <c r="K347" s="6" t="s">
        <v>22</v>
      </c>
      <c r="L347" s="7"/>
      <c r="M347" s="8" t="s">
        <v>23</v>
      </c>
    </row>
    <row r="348" customFormat="false" ht="15" hidden="false" customHeight="false" outlineLevel="0" collapsed="false">
      <c r="A348" s="3" t="s">
        <v>1261</v>
      </c>
      <c r="B348" s="3" t="s">
        <v>1060</v>
      </c>
      <c r="C348" s="4" t="s">
        <v>25</v>
      </c>
      <c r="D348" s="3" t="s">
        <v>1262</v>
      </c>
      <c r="E348" s="3" t="s">
        <v>1263</v>
      </c>
      <c r="F348" s="3" t="s">
        <v>1229</v>
      </c>
      <c r="G348" s="5"/>
      <c r="H348" s="3" t="s">
        <v>1168</v>
      </c>
      <c r="I348" s="3" t="s">
        <v>1260</v>
      </c>
      <c r="J348" s="4" t="s">
        <v>21</v>
      </c>
      <c r="K348" s="6" t="s">
        <v>22</v>
      </c>
      <c r="L348" s="3"/>
      <c r="M348" s="4" t="s">
        <v>23</v>
      </c>
    </row>
    <row r="349" customFormat="false" ht="15" hidden="false" customHeight="false" outlineLevel="0" collapsed="false">
      <c r="A349" s="7" t="s">
        <v>1264</v>
      </c>
      <c r="B349" s="7" t="s">
        <v>1060</v>
      </c>
      <c r="C349" s="8" t="s">
        <v>31</v>
      </c>
      <c r="D349" s="7" t="s">
        <v>1265</v>
      </c>
      <c r="E349" s="7" t="s">
        <v>1266</v>
      </c>
      <c r="F349" s="7" t="s">
        <v>1229</v>
      </c>
      <c r="G349" s="9"/>
      <c r="H349" s="7" t="s">
        <v>1172</v>
      </c>
      <c r="I349" s="7" t="s">
        <v>1260</v>
      </c>
      <c r="J349" s="8" t="s">
        <v>21</v>
      </c>
      <c r="K349" s="6" t="s">
        <v>22</v>
      </c>
      <c r="L349" s="7"/>
      <c r="M349" s="8" t="s">
        <v>23</v>
      </c>
    </row>
    <row r="350" customFormat="false" ht="15" hidden="false" customHeight="false" outlineLevel="0" collapsed="false">
      <c r="A350" s="3" t="s">
        <v>1267</v>
      </c>
      <c r="B350" s="3" t="s">
        <v>620</v>
      </c>
      <c r="C350" s="4" t="s">
        <v>15</v>
      </c>
      <c r="D350" s="3" t="s">
        <v>1268</v>
      </c>
      <c r="E350" s="3" t="s">
        <v>1269</v>
      </c>
      <c r="F350" s="3" t="s">
        <v>1270</v>
      </c>
      <c r="G350" s="5"/>
      <c r="H350" s="3" t="s">
        <v>95</v>
      </c>
      <c r="I350" s="3" t="s">
        <v>1271</v>
      </c>
      <c r="J350" s="4" t="s">
        <v>21</v>
      </c>
      <c r="K350" s="6" t="s">
        <v>22</v>
      </c>
      <c r="L350" s="3"/>
      <c r="M350" s="4" t="s">
        <v>23</v>
      </c>
    </row>
    <row r="351" customFormat="false" ht="15" hidden="false" customHeight="false" outlineLevel="0" collapsed="false">
      <c r="A351" s="7" t="s">
        <v>1272</v>
      </c>
      <c r="B351" s="7" t="s">
        <v>620</v>
      </c>
      <c r="C351" s="8" t="s">
        <v>25</v>
      </c>
      <c r="D351" s="7" t="s">
        <v>1273</v>
      </c>
      <c r="E351" s="7" t="s">
        <v>1274</v>
      </c>
      <c r="F351" s="7" t="s">
        <v>1270</v>
      </c>
      <c r="G351" s="9"/>
      <c r="H351" s="7" t="s">
        <v>100</v>
      </c>
      <c r="I351" s="7" t="s">
        <v>1271</v>
      </c>
      <c r="J351" s="8" t="s">
        <v>21</v>
      </c>
      <c r="K351" s="6" t="s">
        <v>22</v>
      </c>
      <c r="L351" s="7"/>
      <c r="M351" s="8" t="s">
        <v>23</v>
      </c>
    </row>
    <row r="352" customFormat="false" ht="15" hidden="false" customHeight="false" outlineLevel="0" collapsed="false">
      <c r="A352" s="3" t="s">
        <v>1275</v>
      </c>
      <c r="B352" s="3" t="s">
        <v>620</v>
      </c>
      <c r="C352" s="4" t="s">
        <v>31</v>
      </c>
      <c r="D352" s="3" t="s">
        <v>1276</v>
      </c>
      <c r="E352" s="3" t="s">
        <v>1277</v>
      </c>
      <c r="F352" s="3" t="s">
        <v>1270</v>
      </c>
      <c r="G352" s="5"/>
      <c r="H352" s="3" t="s">
        <v>104</v>
      </c>
      <c r="I352" s="3" t="s">
        <v>1271</v>
      </c>
      <c r="J352" s="4" t="s">
        <v>21</v>
      </c>
      <c r="K352" s="6" t="s">
        <v>22</v>
      </c>
      <c r="L352" s="3"/>
      <c r="M352" s="4" t="s">
        <v>23</v>
      </c>
    </row>
    <row r="353" customFormat="false" ht="15" hidden="false" customHeight="false" outlineLevel="0" collapsed="false">
      <c r="A353" s="7" t="s">
        <v>1278</v>
      </c>
      <c r="B353" s="7" t="s">
        <v>620</v>
      </c>
      <c r="C353" s="8" t="s">
        <v>15</v>
      </c>
      <c r="D353" s="7" t="s">
        <v>1279</v>
      </c>
      <c r="E353" s="7" t="s">
        <v>1280</v>
      </c>
      <c r="F353" s="7" t="s">
        <v>1270</v>
      </c>
      <c r="G353" s="9"/>
      <c r="H353" s="7" t="s">
        <v>95</v>
      </c>
      <c r="I353" s="7" t="s">
        <v>1281</v>
      </c>
      <c r="J353" s="8" t="s">
        <v>21</v>
      </c>
      <c r="K353" s="6" t="s">
        <v>22</v>
      </c>
      <c r="L353" s="7"/>
      <c r="M353" s="8" t="s">
        <v>23</v>
      </c>
    </row>
    <row r="354" customFormat="false" ht="15" hidden="false" customHeight="false" outlineLevel="0" collapsed="false">
      <c r="A354" s="3" t="s">
        <v>1282</v>
      </c>
      <c r="B354" s="3" t="s">
        <v>620</v>
      </c>
      <c r="C354" s="4" t="s">
        <v>25</v>
      </c>
      <c r="D354" s="3" t="s">
        <v>1283</v>
      </c>
      <c r="E354" s="3" t="s">
        <v>1284</v>
      </c>
      <c r="F354" s="3" t="s">
        <v>1270</v>
      </c>
      <c r="G354" s="5"/>
      <c r="H354" s="3" t="s">
        <v>100</v>
      </c>
      <c r="I354" s="3" t="s">
        <v>1281</v>
      </c>
      <c r="J354" s="4" t="s">
        <v>21</v>
      </c>
      <c r="K354" s="6" t="s">
        <v>22</v>
      </c>
      <c r="L354" s="3"/>
      <c r="M354" s="4" t="s">
        <v>23</v>
      </c>
    </row>
    <row r="355" customFormat="false" ht="15" hidden="false" customHeight="false" outlineLevel="0" collapsed="false">
      <c r="A355" s="7" t="s">
        <v>1285</v>
      </c>
      <c r="B355" s="7" t="s">
        <v>620</v>
      </c>
      <c r="C355" s="8" t="s">
        <v>31</v>
      </c>
      <c r="D355" s="7" t="s">
        <v>1286</v>
      </c>
      <c r="E355" s="7" t="s">
        <v>1287</v>
      </c>
      <c r="F355" s="7" t="s">
        <v>1270</v>
      </c>
      <c r="G355" s="9"/>
      <c r="H355" s="7" t="s">
        <v>104</v>
      </c>
      <c r="I355" s="7" t="s">
        <v>1281</v>
      </c>
      <c r="J355" s="8" t="s">
        <v>21</v>
      </c>
      <c r="K355" s="6" t="s">
        <v>22</v>
      </c>
      <c r="L355" s="7"/>
      <c r="M355" s="8" t="s">
        <v>23</v>
      </c>
    </row>
    <row r="356" customFormat="false" ht="15" hidden="false" customHeight="false" outlineLevel="0" collapsed="false">
      <c r="A356" s="3" t="s">
        <v>1288</v>
      </c>
      <c r="B356" s="3" t="s">
        <v>620</v>
      </c>
      <c r="C356" s="4" t="s">
        <v>15</v>
      </c>
      <c r="D356" s="3" t="s">
        <v>1289</v>
      </c>
      <c r="E356" s="3" t="s">
        <v>1290</v>
      </c>
      <c r="F356" s="3" t="s">
        <v>1270</v>
      </c>
      <c r="G356" s="5"/>
      <c r="H356" s="3" t="s">
        <v>95</v>
      </c>
      <c r="I356" s="3" t="s">
        <v>1291</v>
      </c>
      <c r="J356" s="4" t="s">
        <v>21</v>
      </c>
      <c r="K356" s="6" t="s">
        <v>22</v>
      </c>
      <c r="L356" s="3"/>
      <c r="M356" s="4" t="s">
        <v>23</v>
      </c>
    </row>
    <row r="357" customFormat="false" ht="15" hidden="false" customHeight="false" outlineLevel="0" collapsed="false">
      <c r="A357" s="7" t="s">
        <v>1292</v>
      </c>
      <c r="B357" s="7" t="s">
        <v>620</v>
      </c>
      <c r="C357" s="8" t="s">
        <v>25</v>
      </c>
      <c r="D357" s="7" t="s">
        <v>1293</v>
      </c>
      <c r="E357" s="7" t="s">
        <v>1294</v>
      </c>
      <c r="F357" s="7" t="s">
        <v>1270</v>
      </c>
      <c r="G357" s="9"/>
      <c r="H357" s="7" t="s">
        <v>100</v>
      </c>
      <c r="I357" s="7" t="s">
        <v>1291</v>
      </c>
      <c r="J357" s="8" t="s">
        <v>21</v>
      </c>
      <c r="K357" s="6" t="s">
        <v>22</v>
      </c>
      <c r="L357" s="7"/>
      <c r="M357" s="8" t="s">
        <v>23</v>
      </c>
    </row>
    <row r="358" customFormat="false" ht="15" hidden="false" customHeight="false" outlineLevel="0" collapsed="false">
      <c r="A358" s="3" t="s">
        <v>1295</v>
      </c>
      <c r="B358" s="3" t="s">
        <v>620</v>
      </c>
      <c r="C358" s="4" t="s">
        <v>31</v>
      </c>
      <c r="D358" s="3" t="s">
        <v>1296</v>
      </c>
      <c r="E358" s="3" t="s">
        <v>1297</v>
      </c>
      <c r="F358" s="3" t="s">
        <v>1270</v>
      </c>
      <c r="G358" s="5"/>
      <c r="H358" s="3" t="s">
        <v>104</v>
      </c>
      <c r="I358" s="3" t="s">
        <v>1291</v>
      </c>
      <c r="J358" s="4" t="s">
        <v>21</v>
      </c>
      <c r="K358" s="6" t="s">
        <v>22</v>
      </c>
      <c r="L358" s="3"/>
      <c r="M358" s="4" t="s">
        <v>23</v>
      </c>
    </row>
    <row r="359" customFormat="false" ht="15" hidden="false" customHeight="false" outlineLevel="0" collapsed="false">
      <c r="A359" s="7" t="s">
        <v>1298</v>
      </c>
      <c r="B359" s="7" t="s">
        <v>620</v>
      </c>
      <c r="C359" s="8" t="s">
        <v>15</v>
      </c>
      <c r="D359" s="7" t="s">
        <v>1299</v>
      </c>
      <c r="E359" s="7" t="s">
        <v>1300</v>
      </c>
      <c r="F359" s="7" t="s">
        <v>1270</v>
      </c>
      <c r="G359" s="9"/>
      <c r="H359" s="7" t="s">
        <v>95</v>
      </c>
      <c r="I359" s="7" t="s">
        <v>1301</v>
      </c>
      <c r="J359" s="8" t="s">
        <v>21</v>
      </c>
      <c r="K359" s="6" t="s">
        <v>22</v>
      </c>
      <c r="L359" s="7"/>
      <c r="M359" s="8" t="s">
        <v>23</v>
      </c>
    </row>
    <row r="360" customFormat="false" ht="15" hidden="false" customHeight="false" outlineLevel="0" collapsed="false">
      <c r="A360" s="3" t="s">
        <v>1302</v>
      </c>
      <c r="B360" s="3" t="s">
        <v>620</v>
      </c>
      <c r="C360" s="4" t="s">
        <v>25</v>
      </c>
      <c r="D360" s="3" t="s">
        <v>1303</v>
      </c>
      <c r="E360" s="3" t="s">
        <v>1304</v>
      </c>
      <c r="F360" s="3" t="s">
        <v>1270</v>
      </c>
      <c r="G360" s="5"/>
      <c r="H360" s="3" t="s">
        <v>100</v>
      </c>
      <c r="I360" s="3" t="s">
        <v>1301</v>
      </c>
      <c r="J360" s="4" t="s">
        <v>21</v>
      </c>
      <c r="K360" s="6" t="s">
        <v>22</v>
      </c>
      <c r="L360" s="3"/>
      <c r="M360" s="4" t="s">
        <v>23</v>
      </c>
    </row>
    <row r="361" customFormat="false" ht="15" hidden="false" customHeight="false" outlineLevel="0" collapsed="false">
      <c r="A361" s="7" t="s">
        <v>1305</v>
      </c>
      <c r="B361" s="7" t="s">
        <v>620</v>
      </c>
      <c r="C361" s="8" t="s">
        <v>31</v>
      </c>
      <c r="D361" s="7" t="s">
        <v>1306</v>
      </c>
      <c r="E361" s="7" t="s">
        <v>1307</v>
      </c>
      <c r="F361" s="7" t="s">
        <v>1270</v>
      </c>
      <c r="G361" s="9"/>
      <c r="H361" s="7" t="s">
        <v>104</v>
      </c>
      <c r="I361" s="7" t="s">
        <v>1301</v>
      </c>
      <c r="J361" s="8" t="s">
        <v>21</v>
      </c>
      <c r="K361" s="6" t="s">
        <v>22</v>
      </c>
      <c r="L361" s="7"/>
      <c r="M361" s="8" t="s">
        <v>23</v>
      </c>
    </row>
    <row r="362" customFormat="false" ht="15" hidden="false" customHeight="false" outlineLevel="0" collapsed="false">
      <c r="A362" s="3" t="s">
        <v>1308</v>
      </c>
      <c r="B362" s="3" t="s">
        <v>1309</v>
      </c>
      <c r="C362" s="4" t="s">
        <v>15</v>
      </c>
      <c r="D362" s="3" t="s">
        <v>1310</v>
      </c>
      <c r="E362" s="3" t="s">
        <v>1311</v>
      </c>
      <c r="F362" s="3" t="s">
        <v>1312</v>
      </c>
      <c r="G362" s="11" t="n">
        <v>2022</v>
      </c>
      <c r="H362" s="3" t="s">
        <v>1313</v>
      </c>
      <c r="I362" s="3" t="s">
        <v>1314</v>
      </c>
      <c r="J362" s="4" t="s">
        <v>21</v>
      </c>
      <c r="K362" s="6" t="s">
        <v>22</v>
      </c>
      <c r="L362" s="3"/>
      <c r="M362" s="4" t="s">
        <v>1315</v>
      </c>
    </row>
    <row r="363" customFormat="false" ht="15" hidden="false" customHeight="false" outlineLevel="0" collapsed="false">
      <c r="A363" s="7" t="s">
        <v>1316</v>
      </c>
      <c r="B363" s="7" t="s">
        <v>1309</v>
      </c>
      <c r="C363" s="8" t="s">
        <v>25</v>
      </c>
      <c r="D363" s="7" t="s">
        <v>1317</v>
      </c>
      <c r="E363" s="7" t="s">
        <v>1318</v>
      </c>
      <c r="F363" s="7" t="s">
        <v>1312</v>
      </c>
      <c r="G363" s="10" t="n">
        <v>2022</v>
      </c>
      <c r="H363" s="7" t="s">
        <v>1319</v>
      </c>
      <c r="I363" s="7" t="s">
        <v>1314</v>
      </c>
      <c r="J363" s="8" t="s">
        <v>21</v>
      </c>
      <c r="K363" s="6" t="s">
        <v>22</v>
      </c>
      <c r="L363" s="7"/>
      <c r="M363" s="8" t="s">
        <v>1315</v>
      </c>
    </row>
    <row r="364" customFormat="false" ht="15" hidden="false" customHeight="false" outlineLevel="0" collapsed="false">
      <c r="A364" s="3" t="s">
        <v>1320</v>
      </c>
      <c r="B364" s="3" t="s">
        <v>1309</v>
      </c>
      <c r="C364" s="4" t="s">
        <v>31</v>
      </c>
      <c r="D364" s="3" t="s">
        <v>1321</v>
      </c>
      <c r="E364" s="3" t="s">
        <v>1322</v>
      </c>
      <c r="F364" s="3" t="s">
        <v>1312</v>
      </c>
      <c r="G364" s="11" t="n">
        <v>2022</v>
      </c>
      <c r="H364" s="3" t="s">
        <v>1323</v>
      </c>
      <c r="I364" s="3" t="s">
        <v>1314</v>
      </c>
      <c r="J364" s="4" t="s">
        <v>21</v>
      </c>
      <c r="K364" s="6" t="s">
        <v>22</v>
      </c>
      <c r="L364" s="3"/>
      <c r="M364" s="4" t="s">
        <v>1315</v>
      </c>
    </row>
    <row r="365" customFormat="false" ht="15" hidden="false" customHeight="false" outlineLevel="0" collapsed="false">
      <c r="A365" s="7" t="s">
        <v>1324</v>
      </c>
      <c r="B365" s="7" t="s">
        <v>1309</v>
      </c>
      <c r="C365" s="8" t="s">
        <v>15</v>
      </c>
      <c r="D365" s="7" t="s">
        <v>1325</v>
      </c>
      <c r="E365" s="7" t="s">
        <v>1326</v>
      </c>
      <c r="F365" s="7" t="s">
        <v>1312</v>
      </c>
      <c r="G365" s="10" t="n">
        <v>2022</v>
      </c>
      <c r="H365" s="7" t="s">
        <v>1313</v>
      </c>
      <c r="I365" s="7" t="s">
        <v>1327</v>
      </c>
      <c r="J365" s="8" t="s">
        <v>21</v>
      </c>
      <c r="K365" s="6" t="s">
        <v>22</v>
      </c>
      <c r="L365" s="7"/>
      <c r="M365" s="8" t="s">
        <v>1315</v>
      </c>
    </row>
    <row r="366" customFormat="false" ht="15" hidden="false" customHeight="false" outlineLevel="0" collapsed="false">
      <c r="A366" s="3" t="s">
        <v>1328</v>
      </c>
      <c r="B366" s="3" t="s">
        <v>1309</v>
      </c>
      <c r="C366" s="4" t="s">
        <v>25</v>
      </c>
      <c r="D366" s="3" t="s">
        <v>1329</v>
      </c>
      <c r="E366" s="3" t="s">
        <v>1330</v>
      </c>
      <c r="F366" s="3" t="s">
        <v>1312</v>
      </c>
      <c r="G366" s="11" t="n">
        <v>2022</v>
      </c>
      <c r="H366" s="3" t="s">
        <v>1319</v>
      </c>
      <c r="I366" s="3" t="s">
        <v>1327</v>
      </c>
      <c r="J366" s="4" t="s">
        <v>21</v>
      </c>
      <c r="K366" s="6" t="s">
        <v>22</v>
      </c>
      <c r="L366" s="3"/>
      <c r="M366" s="4" t="s">
        <v>1315</v>
      </c>
    </row>
    <row r="367" customFormat="false" ht="15" hidden="false" customHeight="false" outlineLevel="0" collapsed="false">
      <c r="A367" s="7" t="s">
        <v>1331</v>
      </c>
      <c r="B367" s="7" t="s">
        <v>1309</v>
      </c>
      <c r="C367" s="8" t="s">
        <v>31</v>
      </c>
      <c r="D367" s="7" t="s">
        <v>1332</v>
      </c>
      <c r="E367" s="7" t="s">
        <v>1333</v>
      </c>
      <c r="F367" s="7" t="s">
        <v>1312</v>
      </c>
      <c r="G367" s="10" t="n">
        <v>2022</v>
      </c>
      <c r="H367" s="7" t="s">
        <v>1323</v>
      </c>
      <c r="I367" s="7" t="s">
        <v>1327</v>
      </c>
      <c r="J367" s="8" t="s">
        <v>21</v>
      </c>
      <c r="K367" s="6" t="s">
        <v>22</v>
      </c>
      <c r="L367" s="7"/>
      <c r="M367" s="8" t="s">
        <v>1315</v>
      </c>
    </row>
    <row r="368" customFormat="false" ht="15" hidden="false" customHeight="false" outlineLevel="0" collapsed="false">
      <c r="A368" s="3" t="s">
        <v>1334</v>
      </c>
      <c r="B368" s="3" t="s">
        <v>1309</v>
      </c>
      <c r="C368" s="4" t="s">
        <v>15</v>
      </c>
      <c r="D368" s="3" t="s">
        <v>1335</v>
      </c>
      <c r="E368" s="3" t="s">
        <v>1336</v>
      </c>
      <c r="F368" s="3" t="s">
        <v>1312</v>
      </c>
      <c r="G368" s="11" t="n">
        <v>2022</v>
      </c>
      <c r="H368" s="3" t="s">
        <v>1313</v>
      </c>
      <c r="I368" s="3" t="s">
        <v>1337</v>
      </c>
      <c r="J368" s="4" t="s">
        <v>21</v>
      </c>
      <c r="K368" s="6" t="s">
        <v>22</v>
      </c>
      <c r="L368" s="3"/>
      <c r="M368" s="4" t="s">
        <v>1315</v>
      </c>
    </row>
    <row r="369" customFormat="false" ht="15" hidden="false" customHeight="false" outlineLevel="0" collapsed="false">
      <c r="A369" s="7" t="s">
        <v>1338</v>
      </c>
      <c r="B369" s="7" t="s">
        <v>1309</v>
      </c>
      <c r="C369" s="8" t="s">
        <v>25</v>
      </c>
      <c r="D369" s="7" t="s">
        <v>1339</v>
      </c>
      <c r="E369" s="7" t="s">
        <v>1340</v>
      </c>
      <c r="F369" s="7" t="s">
        <v>1312</v>
      </c>
      <c r="G369" s="10" t="n">
        <v>2022</v>
      </c>
      <c r="H369" s="7" t="s">
        <v>1319</v>
      </c>
      <c r="I369" s="7" t="s">
        <v>1337</v>
      </c>
      <c r="J369" s="8" t="s">
        <v>21</v>
      </c>
      <c r="K369" s="6" t="s">
        <v>22</v>
      </c>
      <c r="L369" s="7"/>
      <c r="M369" s="8" t="s">
        <v>1315</v>
      </c>
    </row>
    <row r="370" customFormat="false" ht="15" hidden="false" customHeight="false" outlineLevel="0" collapsed="false">
      <c r="A370" s="3" t="s">
        <v>1341</v>
      </c>
      <c r="B370" s="3" t="s">
        <v>1309</v>
      </c>
      <c r="C370" s="4" t="s">
        <v>31</v>
      </c>
      <c r="D370" s="3" t="s">
        <v>1342</v>
      </c>
      <c r="E370" s="3" t="s">
        <v>1343</v>
      </c>
      <c r="F370" s="3" t="s">
        <v>1312</v>
      </c>
      <c r="G370" s="11" t="n">
        <v>2022</v>
      </c>
      <c r="H370" s="3" t="s">
        <v>1323</v>
      </c>
      <c r="I370" s="3" t="s">
        <v>1337</v>
      </c>
      <c r="J370" s="4" t="s">
        <v>21</v>
      </c>
      <c r="K370" s="6" t="s">
        <v>22</v>
      </c>
      <c r="L370" s="3"/>
      <c r="M370" s="4" t="s">
        <v>1315</v>
      </c>
    </row>
    <row r="371" customFormat="false" ht="15" hidden="false" customHeight="false" outlineLevel="0" collapsed="false">
      <c r="A371" s="7" t="s">
        <v>1344</v>
      </c>
      <c r="B371" s="7" t="s">
        <v>926</v>
      </c>
      <c r="C371" s="8" t="s">
        <v>15</v>
      </c>
      <c r="D371" s="7" t="s">
        <v>1345</v>
      </c>
      <c r="E371" s="7" t="s">
        <v>1346</v>
      </c>
      <c r="F371" s="7" t="s">
        <v>1347</v>
      </c>
      <c r="G371" s="9"/>
      <c r="H371" s="7" t="s">
        <v>1348</v>
      </c>
      <c r="I371" s="7" t="s">
        <v>1349</v>
      </c>
      <c r="J371" s="8" t="s">
        <v>21</v>
      </c>
      <c r="K371" s="6" t="s">
        <v>22</v>
      </c>
      <c r="L371" s="7"/>
      <c r="M371" s="8" t="s">
        <v>1315</v>
      </c>
    </row>
    <row r="372" customFormat="false" ht="15" hidden="false" customHeight="false" outlineLevel="0" collapsed="false">
      <c r="A372" s="3" t="s">
        <v>1350</v>
      </c>
      <c r="B372" s="3" t="s">
        <v>926</v>
      </c>
      <c r="C372" s="4" t="s">
        <v>25</v>
      </c>
      <c r="D372" s="3" t="s">
        <v>1351</v>
      </c>
      <c r="E372" s="3" t="s">
        <v>1352</v>
      </c>
      <c r="F372" s="3" t="s">
        <v>1347</v>
      </c>
      <c r="G372" s="5"/>
      <c r="H372" s="3" t="s">
        <v>1353</v>
      </c>
      <c r="I372" s="3" t="s">
        <v>1349</v>
      </c>
      <c r="J372" s="4" t="s">
        <v>21</v>
      </c>
      <c r="K372" s="6" t="s">
        <v>22</v>
      </c>
      <c r="L372" s="3"/>
      <c r="M372" s="4" t="s">
        <v>1315</v>
      </c>
    </row>
    <row r="373" customFormat="false" ht="15" hidden="false" customHeight="false" outlineLevel="0" collapsed="false">
      <c r="A373" s="7" t="s">
        <v>1354</v>
      </c>
      <c r="B373" s="7" t="s">
        <v>926</v>
      </c>
      <c r="C373" s="8" t="s">
        <v>31</v>
      </c>
      <c r="D373" s="7" t="s">
        <v>1355</v>
      </c>
      <c r="E373" s="7" t="s">
        <v>1356</v>
      </c>
      <c r="F373" s="7" t="s">
        <v>1347</v>
      </c>
      <c r="G373" s="9"/>
      <c r="H373" s="7" t="s">
        <v>1357</v>
      </c>
      <c r="I373" s="7" t="s">
        <v>1349</v>
      </c>
      <c r="J373" s="8" t="s">
        <v>21</v>
      </c>
      <c r="K373" s="6" t="s">
        <v>22</v>
      </c>
      <c r="L373" s="7"/>
      <c r="M373" s="8" t="s">
        <v>1315</v>
      </c>
    </row>
    <row r="374" customFormat="false" ht="15" hidden="false" customHeight="false" outlineLevel="0" collapsed="false">
      <c r="A374" s="3" t="s">
        <v>1358</v>
      </c>
      <c r="B374" s="3" t="s">
        <v>926</v>
      </c>
      <c r="C374" s="4" t="s">
        <v>15</v>
      </c>
      <c r="D374" s="3" t="s">
        <v>1359</v>
      </c>
      <c r="E374" s="3" t="s">
        <v>1360</v>
      </c>
      <c r="F374" s="3" t="s">
        <v>1347</v>
      </c>
      <c r="G374" s="5"/>
      <c r="H374" s="3" t="s">
        <v>1348</v>
      </c>
      <c r="I374" s="3" t="s">
        <v>1361</v>
      </c>
      <c r="J374" s="4" t="s">
        <v>21</v>
      </c>
      <c r="K374" s="6" t="s">
        <v>22</v>
      </c>
      <c r="L374" s="3"/>
      <c r="M374" s="4" t="s">
        <v>1315</v>
      </c>
    </row>
    <row r="375" customFormat="false" ht="15" hidden="false" customHeight="false" outlineLevel="0" collapsed="false">
      <c r="A375" s="7" t="s">
        <v>1362</v>
      </c>
      <c r="B375" s="7" t="s">
        <v>926</v>
      </c>
      <c r="C375" s="8" t="s">
        <v>25</v>
      </c>
      <c r="D375" s="7" t="s">
        <v>1363</v>
      </c>
      <c r="E375" s="7" t="s">
        <v>1364</v>
      </c>
      <c r="F375" s="7" t="s">
        <v>1347</v>
      </c>
      <c r="G375" s="9"/>
      <c r="H375" s="7" t="s">
        <v>1353</v>
      </c>
      <c r="I375" s="7" t="s">
        <v>1361</v>
      </c>
      <c r="J375" s="8" t="s">
        <v>21</v>
      </c>
      <c r="K375" s="6" t="s">
        <v>22</v>
      </c>
      <c r="L375" s="7"/>
      <c r="M375" s="8" t="s">
        <v>1315</v>
      </c>
    </row>
    <row r="376" customFormat="false" ht="15" hidden="false" customHeight="false" outlineLevel="0" collapsed="false">
      <c r="A376" s="3" t="s">
        <v>1365</v>
      </c>
      <c r="B376" s="3" t="s">
        <v>926</v>
      </c>
      <c r="C376" s="4" t="s">
        <v>31</v>
      </c>
      <c r="D376" s="3" t="s">
        <v>1366</v>
      </c>
      <c r="E376" s="3" t="s">
        <v>1367</v>
      </c>
      <c r="F376" s="3" t="s">
        <v>1347</v>
      </c>
      <c r="G376" s="5"/>
      <c r="H376" s="3" t="s">
        <v>1357</v>
      </c>
      <c r="I376" s="3" t="s">
        <v>1361</v>
      </c>
      <c r="J376" s="4" t="s">
        <v>21</v>
      </c>
      <c r="K376" s="6" t="s">
        <v>22</v>
      </c>
      <c r="L376" s="3"/>
      <c r="M376" s="4" t="s">
        <v>1315</v>
      </c>
    </row>
    <row r="377" customFormat="false" ht="15" hidden="false" customHeight="false" outlineLevel="0" collapsed="false">
      <c r="A377" s="7" t="s">
        <v>1368</v>
      </c>
      <c r="B377" s="7" t="s">
        <v>926</v>
      </c>
      <c r="C377" s="8" t="s">
        <v>15</v>
      </c>
      <c r="D377" s="7" t="s">
        <v>1369</v>
      </c>
      <c r="E377" s="7" t="s">
        <v>1370</v>
      </c>
      <c r="F377" s="7" t="s">
        <v>1347</v>
      </c>
      <c r="G377" s="9"/>
      <c r="H377" s="7" t="s">
        <v>1348</v>
      </c>
      <c r="I377" s="7" t="s">
        <v>1371</v>
      </c>
      <c r="J377" s="8" t="s">
        <v>21</v>
      </c>
      <c r="K377" s="6" t="s">
        <v>22</v>
      </c>
      <c r="L377" s="7"/>
      <c r="M377" s="8" t="s">
        <v>1315</v>
      </c>
    </row>
    <row r="378" customFormat="false" ht="15" hidden="false" customHeight="false" outlineLevel="0" collapsed="false">
      <c r="A378" s="3" t="s">
        <v>1372</v>
      </c>
      <c r="B378" s="3" t="s">
        <v>926</v>
      </c>
      <c r="C378" s="4" t="s">
        <v>25</v>
      </c>
      <c r="D378" s="3" t="s">
        <v>1373</v>
      </c>
      <c r="E378" s="3" t="s">
        <v>1374</v>
      </c>
      <c r="F378" s="3" t="s">
        <v>1347</v>
      </c>
      <c r="G378" s="5"/>
      <c r="H378" s="3" t="s">
        <v>1353</v>
      </c>
      <c r="I378" s="3" t="s">
        <v>1371</v>
      </c>
      <c r="J378" s="4" t="s">
        <v>21</v>
      </c>
      <c r="K378" s="6" t="s">
        <v>22</v>
      </c>
      <c r="L378" s="3"/>
      <c r="M378" s="4" t="s">
        <v>1315</v>
      </c>
    </row>
    <row r="379" customFormat="false" ht="15" hidden="false" customHeight="false" outlineLevel="0" collapsed="false">
      <c r="A379" s="7" t="s">
        <v>1375</v>
      </c>
      <c r="B379" s="7" t="s">
        <v>926</v>
      </c>
      <c r="C379" s="8" t="s">
        <v>31</v>
      </c>
      <c r="D379" s="7" t="s">
        <v>1376</v>
      </c>
      <c r="E379" s="7" t="s">
        <v>1377</v>
      </c>
      <c r="F379" s="7" t="s">
        <v>1347</v>
      </c>
      <c r="G379" s="9"/>
      <c r="H379" s="7" t="s">
        <v>1357</v>
      </c>
      <c r="I379" s="7" t="s">
        <v>1371</v>
      </c>
      <c r="J379" s="8" t="s">
        <v>21</v>
      </c>
      <c r="K379" s="6" t="s">
        <v>22</v>
      </c>
      <c r="L379" s="7"/>
      <c r="M379" s="8" t="s">
        <v>1315</v>
      </c>
    </row>
    <row r="380" customFormat="false" ht="15" hidden="false" customHeight="false" outlineLevel="0" collapsed="false">
      <c r="A380" s="3" t="s">
        <v>1378</v>
      </c>
      <c r="B380" s="3" t="s">
        <v>1379</v>
      </c>
      <c r="C380" s="4" t="s">
        <v>15</v>
      </c>
      <c r="D380" s="3" t="s">
        <v>1380</v>
      </c>
      <c r="E380" s="3" t="s">
        <v>1381</v>
      </c>
      <c r="F380" s="3" t="s">
        <v>1382</v>
      </c>
      <c r="G380" s="11" t="n">
        <v>2022</v>
      </c>
      <c r="H380" s="3" t="s">
        <v>1383</v>
      </c>
      <c r="I380" s="3" t="s">
        <v>1384</v>
      </c>
      <c r="J380" s="4" t="s">
        <v>21</v>
      </c>
      <c r="K380" s="6" t="s">
        <v>22</v>
      </c>
      <c r="L380" s="3"/>
      <c r="M380" s="4" t="s">
        <v>1315</v>
      </c>
    </row>
    <row r="381" customFormat="false" ht="15" hidden="false" customHeight="false" outlineLevel="0" collapsed="false">
      <c r="A381" s="7" t="s">
        <v>1385</v>
      </c>
      <c r="B381" s="7" t="s">
        <v>1379</v>
      </c>
      <c r="C381" s="8" t="s">
        <v>25</v>
      </c>
      <c r="D381" s="7" t="s">
        <v>1386</v>
      </c>
      <c r="E381" s="7" t="s">
        <v>1387</v>
      </c>
      <c r="F381" s="7" t="s">
        <v>1382</v>
      </c>
      <c r="G381" s="10" t="n">
        <v>2022</v>
      </c>
      <c r="H381" s="7" t="s">
        <v>1388</v>
      </c>
      <c r="I381" s="7" t="s">
        <v>1384</v>
      </c>
      <c r="J381" s="8" t="s">
        <v>21</v>
      </c>
      <c r="K381" s="6" t="s">
        <v>22</v>
      </c>
      <c r="L381" s="7"/>
      <c r="M381" s="8" t="s">
        <v>1315</v>
      </c>
    </row>
    <row r="382" customFormat="false" ht="15" hidden="false" customHeight="false" outlineLevel="0" collapsed="false">
      <c r="A382" s="3" t="s">
        <v>1389</v>
      </c>
      <c r="B382" s="3" t="s">
        <v>1379</v>
      </c>
      <c r="C382" s="4" t="s">
        <v>31</v>
      </c>
      <c r="D382" s="3" t="s">
        <v>1390</v>
      </c>
      <c r="E382" s="3" t="s">
        <v>1391</v>
      </c>
      <c r="F382" s="3" t="s">
        <v>1382</v>
      </c>
      <c r="G382" s="11" t="n">
        <v>2022</v>
      </c>
      <c r="H382" s="3" t="s">
        <v>1392</v>
      </c>
      <c r="I382" s="3" t="s">
        <v>1384</v>
      </c>
      <c r="J382" s="4" t="s">
        <v>21</v>
      </c>
      <c r="K382" s="6" t="s">
        <v>22</v>
      </c>
      <c r="L382" s="3"/>
      <c r="M382" s="4" t="s">
        <v>1315</v>
      </c>
    </row>
    <row r="383" customFormat="false" ht="15" hidden="false" customHeight="false" outlineLevel="0" collapsed="false">
      <c r="A383" s="7" t="s">
        <v>1393</v>
      </c>
      <c r="B383" s="7" t="s">
        <v>1379</v>
      </c>
      <c r="C383" s="8" t="s">
        <v>15</v>
      </c>
      <c r="D383" s="7" t="s">
        <v>1394</v>
      </c>
      <c r="E383" s="7" t="s">
        <v>1395</v>
      </c>
      <c r="F383" s="7" t="s">
        <v>1382</v>
      </c>
      <c r="G383" s="10" t="n">
        <v>2022</v>
      </c>
      <c r="H383" s="7" t="s">
        <v>1383</v>
      </c>
      <c r="I383" s="7" t="s">
        <v>1396</v>
      </c>
      <c r="J383" s="8" t="s">
        <v>21</v>
      </c>
      <c r="K383" s="6" t="s">
        <v>22</v>
      </c>
      <c r="L383" s="7"/>
      <c r="M383" s="8" t="s">
        <v>1315</v>
      </c>
    </row>
    <row r="384" customFormat="false" ht="15" hidden="false" customHeight="false" outlineLevel="0" collapsed="false">
      <c r="A384" s="3" t="s">
        <v>1397</v>
      </c>
      <c r="B384" s="3" t="s">
        <v>1379</v>
      </c>
      <c r="C384" s="4" t="s">
        <v>25</v>
      </c>
      <c r="D384" s="3" t="s">
        <v>1398</v>
      </c>
      <c r="E384" s="3" t="s">
        <v>1399</v>
      </c>
      <c r="F384" s="3" t="s">
        <v>1382</v>
      </c>
      <c r="G384" s="11" t="n">
        <v>2022</v>
      </c>
      <c r="H384" s="3" t="s">
        <v>1388</v>
      </c>
      <c r="I384" s="3" t="s">
        <v>1396</v>
      </c>
      <c r="J384" s="4" t="s">
        <v>21</v>
      </c>
      <c r="K384" s="6" t="s">
        <v>22</v>
      </c>
      <c r="L384" s="3"/>
      <c r="M384" s="4" t="s">
        <v>1315</v>
      </c>
    </row>
    <row r="385" customFormat="false" ht="15" hidden="false" customHeight="false" outlineLevel="0" collapsed="false">
      <c r="A385" s="7" t="s">
        <v>1400</v>
      </c>
      <c r="B385" s="7" t="s">
        <v>1379</v>
      </c>
      <c r="C385" s="8" t="s">
        <v>31</v>
      </c>
      <c r="D385" s="7" t="s">
        <v>1401</v>
      </c>
      <c r="E385" s="7" t="s">
        <v>1402</v>
      </c>
      <c r="F385" s="7" t="s">
        <v>1382</v>
      </c>
      <c r="G385" s="10" t="n">
        <v>2022</v>
      </c>
      <c r="H385" s="7" t="s">
        <v>1392</v>
      </c>
      <c r="I385" s="7" t="s">
        <v>1396</v>
      </c>
      <c r="J385" s="8" t="s">
        <v>21</v>
      </c>
      <c r="K385" s="6" t="s">
        <v>22</v>
      </c>
      <c r="L385" s="7"/>
      <c r="M385" s="8" t="s">
        <v>1315</v>
      </c>
    </row>
    <row r="386" customFormat="false" ht="15" hidden="false" customHeight="false" outlineLevel="0" collapsed="false">
      <c r="A386" s="3" t="s">
        <v>1403</v>
      </c>
      <c r="B386" s="3" t="s">
        <v>1379</v>
      </c>
      <c r="C386" s="4" t="s">
        <v>15</v>
      </c>
      <c r="D386" s="3" t="s">
        <v>1404</v>
      </c>
      <c r="E386" s="3" t="s">
        <v>1405</v>
      </c>
      <c r="F386" s="3" t="s">
        <v>1382</v>
      </c>
      <c r="G386" s="11" t="n">
        <v>2022</v>
      </c>
      <c r="H386" s="3" t="s">
        <v>1383</v>
      </c>
      <c r="I386" s="3" t="s">
        <v>1406</v>
      </c>
      <c r="J386" s="4" t="s">
        <v>21</v>
      </c>
      <c r="K386" s="6" t="s">
        <v>22</v>
      </c>
      <c r="L386" s="3"/>
      <c r="M386" s="4" t="s">
        <v>1315</v>
      </c>
    </row>
    <row r="387" customFormat="false" ht="15" hidden="false" customHeight="false" outlineLevel="0" collapsed="false">
      <c r="A387" s="7" t="s">
        <v>1407</v>
      </c>
      <c r="B387" s="7" t="s">
        <v>1379</v>
      </c>
      <c r="C387" s="8" t="s">
        <v>25</v>
      </c>
      <c r="D387" s="7" t="s">
        <v>1408</v>
      </c>
      <c r="E387" s="7" t="s">
        <v>1409</v>
      </c>
      <c r="F387" s="7" t="s">
        <v>1382</v>
      </c>
      <c r="G387" s="10" t="n">
        <v>2022</v>
      </c>
      <c r="H387" s="7" t="s">
        <v>1388</v>
      </c>
      <c r="I387" s="7" t="s">
        <v>1406</v>
      </c>
      <c r="J387" s="8" t="s">
        <v>21</v>
      </c>
      <c r="K387" s="6" t="s">
        <v>22</v>
      </c>
      <c r="L387" s="7"/>
      <c r="M387" s="8" t="s">
        <v>1315</v>
      </c>
    </row>
    <row r="388" customFormat="false" ht="15" hidden="false" customHeight="false" outlineLevel="0" collapsed="false">
      <c r="A388" s="3" t="s">
        <v>1410</v>
      </c>
      <c r="B388" s="3" t="s">
        <v>1379</v>
      </c>
      <c r="C388" s="4" t="s">
        <v>31</v>
      </c>
      <c r="D388" s="3" t="s">
        <v>1411</v>
      </c>
      <c r="E388" s="3" t="s">
        <v>1412</v>
      </c>
      <c r="F388" s="3" t="s">
        <v>1382</v>
      </c>
      <c r="G388" s="11" t="n">
        <v>2022</v>
      </c>
      <c r="H388" s="3" t="s">
        <v>1392</v>
      </c>
      <c r="I388" s="3" t="s">
        <v>1406</v>
      </c>
      <c r="J388" s="4" t="s">
        <v>21</v>
      </c>
      <c r="K388" s="6" t="s">
        <v>22</v>
      </c>
      <c r="L388" s="3"/>
      <c r="M388" s="4" t="s">
        <v>1315</v>
      </c>
    </row>
    <row r="389" customFormat="false" ht="15" hidden="false" customHeight="false" outlineLevel="0" collapsed="false">
      <c r="A389" s="7" t="s">
        <v>1413</v>
      </c>
      <c r="B389" s="7" t="s">
        <v>1414</v>
      </c>
      <c r="C389" s="8" t="s">
        <v>15</v>
      </c>
      <c r="D389" s="7" t="s">
        <v>1415</v>
      </c>
      <c r="E389" s="7" t="s">
        <v>1416</v>
      </c>
      <c r="F389" s="7" t="s">
        <v>1417</v>
      </c>
      <c r="G389" s="9"/>
      <c r="H389" s="7" t="s">
        <v>1418</v>
      </c>
      <c r="I389" s="7" t="s">
        <v>1419</v>
      </c>
      <c r="J389" s="8" t="s">
        <v>21</v>
      </c>
      <c r="K389" s="6" t="s">
        <v>22</v>
      </c>
      <c r="L389" s="7"/>
      <c r="M389" s="8" t="s">
        <v>1315</v>
      </c>
    </row>
    <row r="390" customFormat="false" ht="15" hidden="false" customHeight="false" outlineLevel="0" collapsed="false">
      <c r="A390" s="3" t="s">
        <v>1420</v>
      </c>
      <c r="B390" s="3" t="s">
        <v>1414</v>
      </c>
      <c r="C390" s="4" t="s">
        <v>25</v>
      </c>
      <c r="D390" s="3" t="s">
        <v>1421</v>
      </c>
      <c r="E390" s="3" t="s">
        <v>1422</v>
      </c>
      <c r="F390" s="3" t="s">
        <v>1417</v>
      </c>
      <c r="G390" s="5"/>
      <c r="H390" s="3" t="s">
        <v>1423</v>
      </c>
      <c r="I390" s="3" t="s">
        <v>1419</v>
      </c>
      <c r="J390" s="4" t="s">
        <v>21</v>
      </c>
      <c r="K390" s="6" t="s">
        <v>22</v>
      </c>
      <c r="L390" s="3"/>
      <c r="M390" s="4" t="s">
        <v>1315</v>
      </c>
    </row>
    <row r="391" customFormat="false" ht="15" hidden="false" customHeight="false" outlineLevel="0" collapsed="false">
      <c r="A391" s="7" t="s">
        <v>1424</v>
      </c>
      <c r="B391" s="7" t="s">
        <v>1414</v>
      </c>
      <c r="C391" s="8" t="s">
        <v>31</v>
      </c>
      <c r="D391" s="7" t="s">
        <v>1425</v>
      </c>
      <c r="E391" s="7" t="s">
        <v>1426</v>
      </c>
      <c r="F391" s="7" t="s">
        <v>1417</v>
      </c>
      <c r="G391" s="9"/>
      <c r="H391" s="7" t="s">
        <v>1427</v>
      </c>
      <c r="I391" s="7" t="s">
        <v>1419</v>
      </c>
      <c r="J391" s="8" t="s">
        <v>21</v>
      </c>
      <c r="K391" s="6" t="s">
        <v>22</v>
      </c>
      <c r="L391" s="7"/>
      <c r="M391" s="8" t="s">
        <v>1315</v>
      </c>
    </row>
    <row r="392" customFormat="false" ht="15" hidden="false" customHeight="false" outlineLevel="0" collapsed="false">
      <c r="A392" s="3" t="s">
        <v>1428</v>
      </c>
      <c r="B392" s="3" t="s">
        <v>1414</v>
      </c>
      <c r="C392" s="4" t="s">
        <v>15</v>
      </c>
      <c r="D392" s="3" t="s">
        <v>1429</v>
      </c>
      <c r="E392" s="3" t="s">
        <v>1430</v>
      </c>
      <c r="F392" s="3" t="s">
        <v>1417</v>
      </c>
      <c r="G392" s="5"/>
      <c r="H392" s="3" t="s">
        <v>1418</v>
      </c>
      <c r="I392" s="3" t="s">
        <v>1431</v>
      </c>
      <c r="J392" s="4" t="s">
        <v>21</v>
      </c>
      <c r="K392" s="6" t="s">
        <v>22</v>
      </c>
      <c r="L392" s="3"/>
      <c r="M392" s="4" t="s">
        <v>1315</v>
      </c>
    </row>
    <row r="393" customFormat="false" ht="15" hidden="false" customHeight="false" outlineLevel="0" collapsed="false">
      <c r="A393" s="7" t="s">
        <v>1432</v>
      </c>
      <c r="B393" s="7" t="s">
        <v>1414</v>
      </c>
      <c r="C393" s="8" t="s">
        <v>25</v>
      </c>
      <c r="D393" s="7" t="s">
        <v>1433</v>
      </c>
      <c r="E393" s="7" t="s">
        <v>1434</v>
      </c>
      <c r="F393" s="7" t="s">
        <v>1417</v>
      </c>
      <c r="G393" s="9"/>
      <c r="H393" s="7" t="s">
        <v>1423</v>
      </c>
      <c r="I393" s="7" t="s">
        <v>1431</v>
      </c>
      <c r="J393" s="8" t="s">
        <v>21</v>
      </c>
      <c r="K393" s="6" t="s">
        <v>22</v>
      </c>
      <c r="L393" s="7"/>
      <c r="M393" s="8" t="s">
        <v>1315</v>
      </c>
    </row>
    <row r="394" customFormat="false" ht="15" hidden="false" customHeight="false" outlineLevel="0" collapsed="false">
      <c r="A394" s="3" t="s">
        <v>1435</v>
      </c>
      <c r="B394" s="3" t="s">
        <v>1414</v>
      </c>
      <c r="C394" s="4" t="s">
        <v>31</v>
      </c>
      <c r="D394" s="3" t="s">
        <v>1436</v>
      </c>
      <c r="E394" s="3" t="s">
        <v>1437</v>
      </c>
      <c r="F394" s="3" t="s">
        <v>1417</v>
      </c>
      <c r="G394" s="5"/>
      <c r="H394" s="3" t="s">
        <v>1427</v>
      </c>
      <c r="I394" s="3" t="s">
        <v>1431</v>
      </c>
      <c r="J394" s="4" t="s">
        <v>21</v>
      </c>
      <c r="K394" s="6" t="s">
        <v>22</v>
      </c>
      <c r="L394" s="3"/>
      <c r="M394" s="4" t="s">
        <v>1315</v>
      </c>
    </row>
    <row r="395" customFormat="false" ht="15" hidden="false" customHeight="false" outlineLevel="0" collapsed="false">
      <c r="A395" s="7" t="s">
        <v>1438</v>
      </c>
      <c r="B395" s="7" t="s">
        <v>1414</v>
      </c>
      <c r="C395" s="8" t="s">
        <v>15</v>
      </c>
      <c r="D395" s="7" t="s">
        <v>1439</v>
      </c>
      <c r="E395" s="7" t="s">
        <v>1440</v>
      </c>
      <c r="F395" s="7" t="s">
        <v>1441</v>
      </c>
      <c r="G395" s="9"/>
      <c r="H395" s="7" t="s">
        <v>1442</v>
      </c>
      <c r="I395" s="7" t="s">
        <v>1443</v>
      </c>
      <c r="J395" s="8" t="s">
        <v>21</v>
      </c>
      <c r="K395" s="6" t="s">
        <v>22</v>
      </c>
      <c r="L395" s="7"/>
      <c r="M395" s="8" t="s">
        <v>1315</v>
      </c>
    </row>
    <row r="396" customFormat="false" ht="15" hidden="false" customHeight="false" outlineLevel="0" collapsed="false">
      <c r="A396" s="3" t="s">
        <v>1444</v>
      </c>
      <c r="B396" s="3" t="s">
        <v>1414</v>
      </c>
      <c r="C396" s="4" t="s">
        <v>25</v>
      </c>
      <c r="D396" s="3" t="s">
        <v>1445</v>
      </c>
      <c r="E396" s="3" t="s">
        <v>1446</v>
      </c>
      <c r="F396" s="3" t="s">
        <v>1441</v>
      </c>
      <c r="G396" s="5"/>
      <c r="H396" s="3" t="s">
        <v>1447</v>
      </c>
      <c r="I396" s="3" t="s">
        <v>1443</v>
      </c>
      <c r="J396" s="4" t="s">
        <v>21</v>
      </c>
      <c r="K396" s="6" t="s">
        <v>22</v>
      </c>
      <c r="L396" s="3"/>
      <c r="M396" s="4" t="s">
        <v>1315</v>
      </c>
    </row>
    <row r="397" customFormat="false" ht="15" hidden="false" customHeight="false" outlineLevel="0" collapsed="false">
      <c r="A397" s="7" t="s">
        <v>1448</v>
      </c>
      <c r="B397" s="7" t="s">
        <v>1414</v>
      </c>
      <c r="C397" s="8" t="s">
        <v>31</v>
      </c>
      <c r="D397" s="7" t="s">
        <v>1449</v>
      </c>
      <c r="E397" s="7" t="s">
        <v>1450</v>
      </c>
      <c r="F397" s="7" t="s">
        <v>1441</v>
      </c>
      <c r="G397" s="9"/>
      <c r="H397" s="7" t="s">
        <v>1451</v>
      </c>
      <c r="I397" s="7" t="s">
        <v>1443</v>
      </c>
      <c r="J397" s="8" t="s">
        <v>21</v>
      </c>
      <c r="K397" s="6" t="s">
        <v>22</v>
      </c>
      <c r="L397" s="7"/>
      <c r="M397" s="8" t="s">
        <v>1315</v>
      </c>
    </row>
    <row r="398" customFormat="false" ht="15" hidden="false" customHeight="false" outlineLevel="0" collapsed="false">
      <c r="A398" s="3" t="s">
        <v>1452</v>
      </c>
      <c r="B398" s="3" t="s">
        <v>1414</v>
      </c>
      <c r="C398" s="4" t="s">
        <v>15</v>
      </c>
      <c r="D398" s="3" t="s">
        <v>1453</v>
      </c>
      <c r="E398" s="3" t="s">
        <v>1454</v>
      </c>
      <c r="F398" s="3" t="s">
        <v>1441</v>
      </c>
      <c r="G398" s="5"/>
      <c r="H398" s="3" t="s">
        <v>1442</v>
      </c>
      <c r="I398" s="3" t="s">
        <v>1455</v>
      </c>
      <c r="J398" s="4" t="s">
        <v>21</v>
      </c>
      <c r="K398" s="6" t="s">
        <v>22</v>
      </c>
      <c r="L398" s="3"/>
      <c r="M398" s="4" t="s">
        <v>1315</v>
      </c>
    </row>
    <row r="399" customFormat="false" ht="15" hidden="false" customHeight="false" outlineLevel="0" collapsed="false">
      <c r="A399" s="7" t="s">
        <v>1456</v>
      </c>
      <c r="B399" s="7" t="s">
        <v>1414</v>
      </c>
      <c r="C399" s="8" t="s">
        <v>25</v>
      </c>
      <c r="D399" s="7" t="s">
        <v>1457</v>
      </c>
      <c r="E399" s="7" t="s">
        <v>1458</v>
      </c>
      <c r="F399" s="7" t="s">
        <v>1441</v>
      </c>
      <c r="G399" s="9"/>
      <c r="H399" s="7" t="s">
        <v>1447</v>
      </c>
      <c r="I399" s="7" t="s">
        <v>1455</v>
      </c>
      <c r="J399" s="8" t="s">
        <v>21</v>
      </c>
      <c r="K399" s="6" t="s">
        <v>22</v>
      </c>
      <c r="L399" s="7"/>
      <c r="M399" s="8" t="s">
        <v>1315</v>
      </c>
    </row>
    <row r="400" customFormat="false" ht="15" hidden="false" customHeight="false" outlineLevel="0" collapsed="false">
      <c r="A400" s="3" t="s">
        <v>1459</v>
      </c>
      <c r="B400" s="3" t="s">
        <v>1414</v>
      </c>
      <c r="C400" s="4" t="s">
        <v>31</v>
      </c>
      <c r="D400" s="3" t="s">
        <v>1460</v>
      </c>
      <c r="E400" s="3" t="s">
        <v>1461</v>
      </c>
      <c r="F400" s="3" t="s">
        <v>1441</v>
      </c>
      <c r="G400" s="5"/>
      <c r="H400" s="3" t="s">
        <v>1451</v>
      </c>
      <c r="I400" s="3" t="s">
        <v>1455</v>
      </c>
      <c r="J400" s="4" t="s">
        <v>21</v>
      </c>
      <c r="K400" s="6" t="s">
        <v>22</v>
      </c>
      <c r="L400" s="3"/>
      <c r="M400" s="4" t="s">
        <v>1315</v>
      </c>
    </row>
    <row r="401" customFormat="false" ht="15" hidden="false" customHeight="false" outlineLevel="0" collapsed="false">
      <c r="A401" s="7" t="s">
        <v>1462</v>
      </c>
      <c r="B401" s="7" t="s">
        <v>1463</v>
      </c>
      <c r="C401" s="8" t="s">
        <v>15</v>
      </c>
      <c r="D401" s="7" t="s">
        <v>1464</v>
      </c>
      <c r="E401" s="7" t="s">
        <v>1465</v>
      </c>
      <c r="F401" s="7" t="s">
        <v>1466</v>
      </c>
      <c r="G401" s="9"/>
      <c r="H401" s="7" t="s">
        <v>1442</v>
      </c>
      <c r="I401" s="7" t="s">
        <v>1467</v>
      </c>
      <c r="J401" s="8" t="s">
        <v>21</v>
      </c>
      <c r="K401" s="6" t="s">
        <v>22</v>
      </c>
      <c r="L401" s="7"/>
      <c r="M401" s="8" t="s">
        <v>1315</v>
      </c>
    </row>
    <row r="402" customFormat="false" ht="15" hidden="false" customHeight="false" outlineLevel="0" collapsed="false">
      <c r="A402" s="3" t="s">
        <v>1468</v>
      </c>
      <c r="B402" s="3" t="s">
        <v>1463</v>
      </c>
      <c r="C402" s="4" t="s">
        <v>25</v>
      </c>
      <c r="D402" s="3" t="s">
        <v>1469</v>
      </c>
      <c r="E402" s="3" t="s">
        <v>1470</v>
      </c>
      <c r="F402" s="3" t="s">
        <v>1466</v>
      </c>
      <c r="G402" s="5"/>
      <c r="H402" s="3" t="s">
        <v>1447</v>
      </c>
      <c r="I402" s="3" t="s">
        <v>1467</v>
      </c>
      <c r="J402" s="4" t="s">
        <v>21</v>
      </c>
      <c r="K402" s="6" t="s">
        <v>22</v>
      </c>
      <c r="L402" s="3"/>
      <c r="M402" s="4" t="s">
        <v>1315</v>
      </c>
    </row>
    <row r="403" customFormat="false" ht="15" hidden="false" customHeight="false" outlineLevel="0" collapsed="false">
      <c r="A403" s="7" t="s">
        <v>1471</v>
      </c>
      <c r="B403" s="7" t="s">
        <v>1463</v>
      </c>
      <c r="C403" s="8" t="s">
        <v>31</v>
      </c>
      <c r="D403" s="7" t="s">
        <v>1472</v>
      </c>
      <c r="E403" s="7" t="s">
        <v>1473</v>
      </c>
      <c r="F403" s="7" t="s">
        <v>1466</v>
      </c>
      <c r="G403" s="9"/>
      <c r="H403" s="7" t="s">
        <v>1451</v>
      </c>
      <c r="I403" s="7" t="s">
        <v>1467</v>
      </c>
      <c r="J403" s="8" t="s">
        <v>21</v>
      </c>
      <c r="K403" s="6" t="s">
        <v>22</v>
      </c>
      <c r="L403" s="7"/>
      <c r="M403" s="8" t="s">
        <v>1315</v>
      </c>
    </row>
    <row r="404" customFormat="false" ht="15" hidden="false" customHeight="false" outlineLevel="0" collapsed="false">
      <c r="A404" s="3" t="s">
        <v>1474</v>
      </c>
      <c r="B404" s="3" t="s">
        <v>1159</v>
      </c>
      <c r="C404" s="4" t="s">
        <v>15</v>
      </c>
      <c r="D404" s="3" t="s">
        <v>1475</v>
      </c>
      <c r="E404" s="3" t="s">
        <v>1476</v>
      </c>
      <c r="F404" s="3" t="s">
        <v>1477</v>
      </c>
      <c r="G404" s="5"/>
      <c r="H404" s="3" t="s">
        <v>1418</v>
      </c>
      <c r="I404" s="3" t="s">
        <v>1478</v>
      </c>
      <c r="J404" s="4" t="s">
        <v>21</v>
      </c>
      <c r="K404" s="6" t="s">
        <v>22</v>
      </c>
      <c r="L404" s="3"/>
      <c r="M404" s="4" t="s">
        <v>1315</v>
      </c>
    </row>
    <row r="405" customFormat="false" ht="15" hidden="false" customHeight="false" outlineLevel="0" collapsed="false">
      <c r="A405" s="7" t="s">
        <v>1479</v>
      </c>
      <c r="B405" s="7" t="s">
        <v>1159</v>
      </c>
      <c r="C405" s="8" t="s">
        <v>25</v>
      </c>
      <c r="D405" s="7" t="s">
        <v>1480</v>
      </c>
      <c r="E405" s="7" t="s">
        <v>1481</v>
      </c>
      <c r="F405" s="7" t="s">
        <v>1477</v>
      </c>
      <c r="G405" s="9"/>
      <c r="H405" s="7" t="s">
        <v>1423</v>
      </c>
      <c r="I405" s="7" t="s">
        <v>1478</v>
      </c>
      <c r="J405" s="8" t="s">
        <v>21</v>
      </c>
      <c r="K405" s="6" t="s">
        <v>22</v>
      </c>
      <c r="L405" s="7"/>
      <c r="M405" s="8" t="s">
        <v>1315</v>
      </c>
    </row>
    <row r="406" customFormat="false" ht="15" hidden="false" customHeight="false" outlineLevel="0" collapsed="false">
      <c r="A406" s="3" t="s">
        <v>1482</v>
      </c>
      <c r="B406" s="3" t="s">
        <v>1159</v>
      </c>
      <c r="C406" s="4" t="s">
        <v>31</v>
      </c>
      <c r="D406" s="3" t="s">
        <v>1483</v>
      </c>
      <c r="E406" s="3" t="s">
        <v>1484</v>
      </c>
      <c r="F406" s="3" t="s">
        <v>1477</v>
      </c>
      <c r="G406" s="5"/>
      <c r="H406" s="3" t="s">
        <v>1427</v>
      </c>
      <c r="I406" s="3" t="s">
        <v>1478</v>
      </c>
      <c r="J406" s="4" t="s">
        <v>21</v>
      </c>
      <c r="K406" s="6" t="s">
        <v>22</v>
      </c>
      <c r="L406" s="3"/>
      <c r="M406" s="4" t="s">
        <v>1315</v>
      </c>
    </row>
    <row r="407" customFormat="false" ht="15" hidden="false" customHeight="false" outlineLevel="0" collapsed="false">
      <c r="A407" s="7" t="s">
        <v>1485</v>
      </c>
      <c r="B407" s="7" t="s">
        <v>1159</v>
      </c>
      <c r="C407" s="8" t="s">
        <v>15</v>
      </c>
      <c r="D407" s="7" t="s">
        <v>1486</v>
      </c>
      <c r="E407" s="7" t="s">
        <v>1487</v>
      </c>
      <c r="F407" s="7" t="s">
        <v>1488</v>
      </c>
      <c r="G407" s="9"/>
      <c r="H407" s="7" t="s">
        <v>1418</v>
      </c>
      <c r="I407" s="7" t="s">
        <v>1489</v>
      </c>
      <c r="J407" s="8" t="s">
        <v>21</v>
      </c>
      <c r="K407" s="6" t="s">
        <v>22</v>
      </c>
      <c r="L407" s="7"/>
      <c r="M407" s="8" t="s">
        <v>1315</v>
      </c>
    </row>
    <row r="408" customFormat="false" ht="15" hidden="false" customHeight="false" outlineLevel="0" collapsed="false">
      <c r="A408" s="3" t="s">
        <v>1490</v>
      </c>
      <c r="B408" s="3" t="s">
        <v>1159</v>
      </c>
      <c r="C408" s="4" t="s">
        <v>25</v>
      </c>
      <c r="D408" s="3" t="s">
        <v>1491</v>
      </c>
      <c r="E408" s="3" t="s">
        <v>1492</v>
      </c>
      <c r="F408" s="3" t="s">
        <v>1488</v>
      </c>
      <c r="G408" s="5"/>
      <c r="H408" s="3" t="s">
        <v>1423</v>
      </c>
      <c r="I408" s="3" t="s">
        <v>1489</v>
      </c>
      <c r="J408" s="4" t="s">
        <v>21</v>
      </c>
      <c r="K408" s="6" t="s">
        <v>22</v>
      </c>
      <c r="L408" s="3"/>
      <c r="M408" s="4" t="s">
        <v>1315</v>
      </c>
    </row>
    <row r="409" customFormat="false" ht="15" hidden="false" customHeight="false" outlineLevel="0" collapsed="false">
      <c r="A409" s="7" t="s">
        <v>1493</v>
      </c>
      <c r="B409" s="7" t="s">
        <v>1159</v>
      </c>
      <c r="C409" s="8" t="s">
        <v>31</v>
      </c>
      <c r="D409" s="7" t="s">
        <v>1494</v>
      </c>
      <c r="E409" s="7" t="s">
        <v>1495</v>
      </c>
      <c r="F409" s="7" t="s">
        <v>1488</v>
      </c>
      <c r="G409" s="9"/>
      <c r="H409" s="7" t="s">
        <v>1427</v>
      </c>
      <c r="I409" s="7" t="s">
        <v>1489</v>
      </c>
      <c r="J409" s="8" t="s">
        <v>21</v>
      </c>
      <c r="K409" s="6" t="s">
        <v>22</v>
      </c>
      <c r="L409" s="7"/>
      <c r="M409" s="8" t="s">
        <v>1315</v>
      </c>
    </row>
    <row r="410" customFormat="false" ht="15" hidden="false" customHeight="false" outlineLevel="0" collapsed="false">
      <c r="A410" s="3" t="s">
        <v>1496</v>
      </c>
      <c r="B410" s="3" t="s">
        <v>1159</v>
      </c>
      <c r="C410" s="4" t="s">
        <v>15</v>
      </c>
      <c r="D410" s="3" t="s">
        <v>1497</v>
      </c>
      <c r="E410" s="3" t="s">
        <v>1498</v>
      </c>
      <c r="F410" s="3" t="s">
        <v>1477</v>
      </c>
      <c r="G410" s="5"/>
      <c r="H410" s="3" t="s">
        <v>1418</v>
      </c>
      <c r="I410" s="3" t="s">
        <v>1499</v>
      </c>
      <c r="J410" s="4" t="s">
        <v>21</v>
      </c>
      <c r="K410" s="6" t="s">
        <v>22</v>
      </c>
      <c r="L410" s="3"/>
      <c r="M410" s="4" t="s">
        <v>1315</v>
      </c>
    </row>
    <row r="411" customFormat="false" ht="15" hidden="false" customHeight="false" outlineLevel="0" collapsed="false">
      <c r="A411" s="7" t="s">
        <v>1500</v>
      </c>
      <c r="B411" s="7" t="s">
        <v>1159</v>
      </c>
      <c r="C411" s="8" t="s">
        <v>25</v>
      </c>
      <c r="D411" s="7" t="s">
        <v>1501</v>
      </c>
      <c r="E411" s="7" t="s">
        <v>1502</v>
      </c>
      <c r="F411" s="7" t="s">
        <v>1477</v>
      </c>
      <c r="G411" s="9"/>
      <c r="H411" s="7" t="s">
        <v>1423</v>
      </c>
      <c r="I411" s="7" t="s">
        <v>1499</v>
      </c>
      <c r="J411" s="8" t="s">
        <v>21</v>
      </c>
      <c r="K411" s="6" t="s">
        <v>22</v>
      </c>
      <c r="L411" s="7"/>
      <c r="M411" s="8" t="s">
        <v>1315</v>
      </c>
    </row>
    <row r="412" customFormat="false" ht="15" hidden="false" customHeight="false" outlineLevel="0" collapsed="false">
      <c r="A412" s="3" t="s">
        <v>1503</v>
      </c>
      <c r="B412" s="3" t="s">
        <v>1159</v>
      </c>
      <c r="C412" s="4" t="s">
        <v>31</v>
      </c>
      <c r="D412" s="3" t="s">
        <v>1504</v>
      </c>
      <c r="E412" s="3" t="s">
        <v>1505</v>
      </c>
      <c r="F412" s="3" t="s">
        <v>1477</v>
      </c>
      <c r="G412" s="5"/>
      <c r="H412" s="3" t="s">
        <v>1427</v>
      </c>
      <c r="I412" s="3" t="s">
        <v>1499</v>
      </c>
      <c r="J412" s="4" t="s">
        <v>21</v>
      </c>
      <c r="K412" s="6" t="s">
        <v>22</v>
      </c>
      <c r="L412" s="3"/>
      <c r="M412" s="4" t="s">
        <v>1315</v>
      </c>
    </row>
    <row r="413" customFormat="false" ht="15" hidden="false" customHeight="false" outlineLevel="0" collapsed="false">
      <c r="A413" s="7" t="s">
        <v>1506</v>
      </c>
      <c r="B413" s="7" t="s">
        <v>1414</v>
      </c>
      <c r="C413" s="8" t="s">
        <v>15</v>
      </c>
      <c r="D413" s="7" t="s">
        <v>1507</v>
      </c>
      <c r="E413" s="7" t="s">
        <v>1508</v>
      </c>
      <c r="F413" s="7" t="s">
        <v>1441</v>
      </c>
      <c r="G413" s="9"/>
      <c r="H413" s="7" t="s">
        <v>1442</v>
      </c>
      <c r="I413" s="7" t="s">
        <v>1509</v>
      </c>
      <c r="J413" s="8" t="s">
        <v>21</v>
      </c>
      <c r="K413" s="6" t="s">
        <v>22</v>
      </c>
      <c r="L413" s="7"/>
      <c r="M413" s="8" t="s">
        <v>1315</v>
      </c>
    </row>
    <row r="414" customFormat="false" ht="15" hidden="false" customHeight="false" outlineLevel="0" collapsed="false">
      <c r="A414" s="3" t="s">
        <v>1510</v>
      </c>
      <c r="B414" s="3" t="s">
        <v>1414</v>
      </c>
      <c r="C414" s="4" t="s">
        <v>25</v>
      </c>
      <c r="D414" s="3" t="s">
        <v>1511</v>
      </c>
      <c r="E414" s="3" t="s">
        <v>1512</v>
      </c>
      <c r="F414" s="3" t="s">
        <v>1441</v>
      </c>
      <c r="G414" s="5"/>
      <c r="H414" s="3" t="s">
        <v>1447</v>
      </c>
      <c r="I414" s="3" t="s">
        <v>1509</v>
      </c>
      <c r="J414" s="4" t="s">
        <v>21</v>
      </c>
      <c r="K414" s="6" t="s">
        <v>22</v>
      </c>
      <c r="L414" s="3"/>
      <c r="M414" s="4" t="s">
        <v>1315</v>
      </c>
    </row>
    <row r="415" customFormat="false" ht="15" hidden="false" customHeight="false" outlineLevel="0" collapsed="false">
      <c r="A415" s="7" t="s">
        <v>1513</v>
      </c>
      <c r="B415" s="7" t="s">
        <v>1414</v>
      </c>
      <c r="C415" s="8" t="s">
        <v>31</v>
      </c>
      <c r="D415" s="7" t="s">
        <v>1514</v>
      </c>
      <c r="E415" s="7" t="s">
        <v>1515</v>
      </c>
      <c r="F415" s="7" t="s">
        <v>1441</v>
      </c>
      <c r="G415" s="9"/>
      <c r="H415" s="7" t="s">
        <v>1451</v>
      </c>
      <c r="I415" s="7" t="s">
        <v>1509</v>
      </c>
      <c r="J415" s="8" t="s">
        <v>21</v>
      </c>
      <c r="K415" s="6" t="s">
        <v>22</v>
      </c>
      <c r="L415" s="7"/>
      <c r="M415" s="8" t="s">
        <v>1315</v>
      </c>
    </row>
    <row r="416" customFormat="false" ht="15" hidden="false" customHeight="false" outlineLevel="0" collapsed="false">
      <c r="A416" s="3" t="s">
        <v>1516</v>
      </c>
      <c r="B416" s="3" t="s">
        <v>1159</v>
      </c>
      <c r="C416" s="4" t="s">
        <v>15</v>
      </c>
      <c r="D416" s="3" t="s">
        <v>1517</v>
      </c>
      <c r="E416" s="3" t="s">
        <v>1518</v>
      </c>
      <c r="F416" s="3" t="s">
        <v>1519</v>
      </c>
      <c r="G416" s="5"/>
      <c r="H416" s="3" t="s">
        <v>1418</v>
      </c>
      <c r="I416" s="3" t="s">
        <v>1520</v>
      </c>
      <c r="J416" s="4" t="s">
        <v>21</v>
      </c>
      <c r="K416" s="6" t="s">
        <v>22</v>
      </c>
      <c r="L416" s="3"/>
      <c r="M416" s="4" t="s">
        <v>1315</v>
      </c>
    </row>
    <row r="417" customFormat="false" ht="15" hidden="false" customHeight="false" outlineLevel="0" collapsed="false">
      <c r="A417" s="7" t="s">
        <v>1521</v>
      </c>
      <c r="B417" s="7" t="s">
        <v>1159</v>
      </c>
      <c r="C417" s="8" t="s">
        <v>25</v>
      </c>
      <c r="D417" s="7" t="s">
        <v>1522</v>
      </c>
      <c r="E417" s="7" t="s">
        <v>1523</v>
      </c>
      <c r="F417" s="7" t="s">
        <v>1519</v>
      </c>
      <c r="G417" s="9"/>
      <c r="H417" s="7" t="s">
        <v>1423</v>
      </c>
      <c r="I417" s="7" t="s">
        <v>1520</v>
      </c>
      <c r="J417" s="8" t="s">
        <v>21</v>
      </c>
      <c r="K417" s="6" t="s">
        <v>22</v>
      </c>
      <c r="L417" s="7"/>
      <c r="M417" s="8" t="s">
        <v>1315</v>
      </c>
    </row>
    <row r="418" customFormat="false" ht="15" hidden="false" customHeight="false" outlineLevel="0" collapsed="false">
      <c r="A418" s="3" t="s">
        <v>1524</v>
      </c>
      <c r="B418" s="3" t="s">
        <v>1159</v>
      </c>
      <c r="C418" s="4" t="s">
        <v>31</v>
      </c>
      <c r="D418" s="3" t="s">
        <v>1525</v>
      </c>
      <c r="E418" s="3" t="s">
        <v>1526</v>
      </c>
      <c r="F418" s="3" t="s">
        <v>1519</v>
      </c>
      <c r="G418" s="5"/>
      <c r="H418" s="3" t="s">
        <v>1427</v>
      </c>
      <c r="I418" s="3" t="s">
        <v>1520</v>
      </c>
      <c r="J418" s="4" t="s">
        <v>21</v>
      </c>
      <c r="K418" s="6" t="s">
        <v>22</v>
      </c>
      <c r="L418" s="3"/>
      <c r="M418" s="4" t="s">
        <v>1315</v>
      </c>
    </row>
    <row r="419" customFormat="false" ht="15" hidden="false" customHeight="false" outlineLevel="0" collapsed="false">
      <c r="A419" s="7" t="s">
        <v>1527</v>
      </c>
      <c r="B419" s="7" t="s">
        <v>1094</v>
      </c>
      <c r="C419" s="8" t="s">
        <v>15</v>
      </c>
      <c r="D419" s="7" t="s">
        <v>1528</v>
      </c>
      <c r="E419" s="7" t="s">
        <v>1529</v>
      </c>
      <c r="F419" s="7" t="s">
        <v>1530</v>
      </c>
      <c r="G419" s="9"/>
      <c r="H419" s="7" t="s">
        <v>1442</v>
      </c>
      <c r="I419" s="7" t="s">
        <v>1531</v>
      </c>
      <c r="J419" s="8" t="s">
        <v>21</v>
      </c>
      <c r="K419" s="6" t="s">
        <v>22</v>
      </c>
      <c r="L419" s="7"/>
      <c r="M419" s="8" t="s">
        <v>1315</v>
      </c>
    </row>
    <row r="420" customFormat="false" ht="15" hidden="false" customHeight="false" outlineLevel="0" collapsed="false">
      <c r="A420" s="3" t="s">
        <v>1532</v>
      </c>
      <c r="B420" s="3" t="s">
        <v>1094</v>
      </c>
      <c r="C420" s="4" t="s">
        <v>25</v>
      </c>
      <c r="D420" s="3" t="s">
        <v>1533</v>
      </c>
      <c r="E420" s="3" t="s">
        <v>1534</v>
      </c>
      <c r="F420" s="3" t="s">
        <v>1530</v>
      </c>
      <c r="G420" s="5"/>
      <c r="H420" s="3" t="s">
        <v>1447</v>
      </c>
      <c r="I420" s="3" t="s">
        <v>1531</v>
      </c>
      <c r="J420" s="4" t="s">
        <v>21</v>
      </c>
      <c r="K420" s="6" t="s">
        <v>22</v>
      </c>
      <c r="L420" s="3"/>
      <c r="M420" s="4" t="s">
        <v>1315</v>
      </c>
    </row>
    <row r="421" customFormat="false" ht="15" hidden="false" customHeight="false" outlineLevel="0" collapsed="false">
      <c r="A421" s="7" t="s">
        <v>1535</v>
      </c>
      <c r="B421" s="7" t="s">
        <v>1094</v>
      </c>
      <c r="C421" s="8" t="s">
        <v>31</v>
      </c>
      <c r="D421" s="7" t="s">
        <v>1536</v>
      </c>
      <c r="E421" s="7" t="s">
        <v>1537</v>
      </c>
      <c r="F421" s="7" t="s">
        <v>1530</v>
      </c>
      <c r="G421" s="9"/>
      <c r="H421" s="7" t="s">
        <v>1451</v>
      </c>
      <c r="I421" s="7" t="s">
        <v>1531</v>
      </c>
      <c r="J421" s="8" t="s">
        <v>21</v>
      </c>
      <c r="K421" s="6" t="s">
        <v>22</v>
      </c>
      <c r="L421" s="7"/>
      <c r="M421" s="8" t="s">
        <v>1315</v>
      </c>
    </row>
    <row r="422" customFormat="false" ht="15" hidden="false" customHeight="false" outlineLevel="0" collapsed="false">
      <c r="A422" s="3" t="s">
        <v>1538</v>
      </c>
      <c r="B422" s="3" t="s">
        <v>91</v>
      </c>
      <c r="C422" s="4" t="s">
        <v>15</v>
      </c>
      <c r="D422" s="3" t="s">
        <v>1539</v>
      </c>
      <c r="E422" s="14" t="s">
        <v>1540</v>
      </c>
      <c r="F422" s="3" t="s">
        <v>18</v>
      </c>
      <c r="G422" s="11" t="n">
        <v>2026</v>
      </c>
      <c r="H422" s="3" t="s">
        <v>1541</v>
      </c>
      <c r="I422" s="3" t="s">
        <v>1542</v>
      </c>
      <c r="J422" s="4" t="s">
        <v>1543</v>
      </c>
      <c r="K422" s="6" t="s">
        <v>22</v>
      </c>
      <c r="L422" s="3"/>
      <c r="M422" s="4" t="s">
        <v>1544</v>
      </c>
    </row>
    <row r="423" customFormat="false" ht="15" hidden="false" customHeight="false" outlineLevel="0" collapsed="false">
      <c r="A423" s="7" t="s">
        <v>1545</v>
      </c>
      <c r="B423" s="7" t="s">
        <v>91</v>
      </c>
      <c r="C423" s="8" t="s">
        <v>25</v>
      </c>
      <c r="D423" s="7" t="s">
        <v>1546</v>
      </c>
      <c r="E423" s="15" t="s">
        <v>1547</v>
      </c>
      <c r="F423" s="7" t="s">
        <v>28</v>
      </c>
      <c r="G423" s="10" t="n">
        <v>2026</v>
      </c>
      <c r="H423" s="7" t="s">
        <v>1548</v>
      </c>
      <c r="I423" s="7" t="s">
        <v>1542</v>
      </c>
      <c r="J423" s="8" t="s">
        <v>1543</v>
      </c>
      <c r="K423" s="6" t="s">
        <v>22</v>
      </c>
      <c r="L423" s="7"/>
      <c r="M423" s="8" t="s">
        <v>1544</v>
      </c>
    </row>
    <row r="424" customFormat="false" ht="15" hidden="false" customHeight="false" outlineLevel="0" collapsed="false">
      <c r="A424" s="3" t="s">
        <v>1549</v>
      </c>
      <c r="B424" s="3" t="s">
        <v>91</v>
      </c>
      <c r="C424" s="4" t="s">
        <v>31</v>
      </c>
      <c r="D424" s="3" t="s">
        <v>1550</v>
      </c>
      <c r="E424" s="14" t="s">
        <v>1551</v>
      </c>
      <c r="F424" s="3" t="s">
        <v>34</v>
      </c>
      <c r="G424" s="11" t="n">
        <v>2026</v>
      </c>
      <c r="H424" s="3" t="s">
        <v>1552</v>
      </c>
      <c r="I424" s="3" t="s">
        <v>1542</v>
      </c>
      <c r="J424" s="4" t="s">
        <v>1543</v>
      </c>
      <c r="K424" s="6" t="s">
        <v>22</v>
      </c>
      <c r="L424" s="3"/>
      <c r="M424" s="4" t="s">
        <v>1544</v>
      </c>
    </row>
    <row r="425" customFormat="false" ht="15" hidden="false" customHeight="false" outlineLevel="0" collapsed="false">
      <c r="A425" s="7" t="s">
        <v>1553</v>
      </c>
      <c r="B425" s="7" t="s">
        <v>448</v>
      </c>
      <c r="C425" s="8" t="s">
        <v>15</v>
      </c>
      <c r="D425" s="7" t="s">
        <v>1554</v>
      </c>
      <c r="E425" s="15" t="s">
        <v>1555</v>
      </c>
      <c r="F425" s="7" t="s">
        <v>18</v>
      </c>
      <c r="G425" s="10" t="n">
        <v>2026</v>
      </c>
      <c r="H425" s="7" t="s">
        <v>1556</v>
      </c>
      <c r="I425" s="7" t="s">
        <v>1557</v>
      </c>
      <c r="J425" s="8" t="s">
        <v>1543</v>
      </c>
      <c r="K425" s="6" t="s">
        <v>22</v>
      </c>
      <c r="L425" s="7"/>
      <c r="M425" s="8" t="s">
        <v>1544</v>
      </c>
    </row>
    <row r="426" customFormat="false" ht="15" hidden="false" customHeight="false" outlineLevel="0" collapsed="false">
      <c r="A426" s="3" t="s">
        <v>1558</v>
      </c>
      <c r="B426" s="3" t="s">
        <v>448</v>
      </c>
      <c r="C426" s="4" t="s">
        <v>25</v>
      </c>
      <c r="D426" s="3" t="s">
        <v>1559</v>
      </c>
      <c r="E426" s="14" t="s">
        <v>1560</v>
      </c>
      <c r="F426" s="3" t="s">
        <v>28</v>
      </c>
      <c r="G426" s="11" t="n">
        <v>2026</v>
      </c>
      <c r="H426" s="3" t="s">
        <v>1561</v>
      </c>
      <c r="I426" s="3" t="s">
        <v>1557</v>
      </c>
      <c r="J426" s="4" t="s">
        <v>1543</v>
      </c>
      <c r="K426" s="6" t="s">
        <v>22</v>
      </c>
      <c r="L426" s="3"/>
      <c r="M426" s="4" t="s">
        <v>1544</v>
      </c>
    </row>
    <row r="427" customFormat="false" ht="15" hidden="false" customHeight="false" outlineLevel="0" collapsed="false">
      <c r="A427" s="7" t="s">
        <v>1562</v>
      </c>
      <c r="B427" s="7" t="s">
        <v>448</v>
      </c>
      <c r="C427" s="8" t="s">
        <v>31</v>
      </c>
      <c r="D427" s="7" t="s">
        <v>1563</v>
      </c>
      <c r="E427" s="15" t="s">
        <v>1564</v>
      </c>
      <c r="F427" s="7" t="s">
        <v>34</v>
      </c>
      <c r="G427" s="10" t="n">
        <v>2026</v>
      </c>
      <c r="H427" s="7" t="s">
        <v>1565</v>
      </c>
      <c r="I427" s="7" t="s">
        <v>1557</v>
      </c>
      <c r="J427" s="8" t="s">
        <v>1543</v>
      </c>
      <c r="K427" s="6" t="s">
        <v>22</v>
      </c>
      <c r="L427" s="7"/>
      <c r="M427" s="8" t="s">
        <v>1544</v>
      </c>
    </row>
    <row r="428" customFormat="false" ht="15" hidden="false" customHeight="false" outlineLevel="0" collapsed="false">
      <c r="A428" s="3" t="s">
        <v>1566</v>
      </c>
      <c r="B428" s="3" t="s">
        <v>864</v>
      </c>
      <c r="C428" s="4" t="s">
        <v>15</v>
      </c>
      <c r="D428" s="3" t="s">
        <v>1567</v>
      </c>
      <c r="E428" s="14" t="s">
        <v>1568</v>
      </c>
      <c r="F428" s="3" t="s">
        <v>18</v>
      </c>
      <c r="G428" s="5"/>
      <c r="H428" s="3" t="s">
        <v>1569</v>
      </c>
      <c r="I428" s="3" t="s">
        <v>1570</v>
      </c>
      <c r="J428" s="4" t="s">
        <v>1543</v>
      </c>
      <c r="K428" s="6" t="s">
        <v>22</v>
      </c>
      <c r="L428" s="3"/>
      <c r="M428" s="4" t="s">
        <v>1544</v>
      </c>
    </row>
    <row r="429" customFormat="false" ht="15" hidden="false" customHeight="false" outlineLevel="0" collapsed="false">
      <c r="A429" s="7" t="s">
        <v>1571</v>
      </c>
      <c r="B429" s="7" t="s">
        <v>864</v>
      </c>
      <c r="C429" s="8" t="s">
        <v>25</v>
      </c>
      <c r="D429" s="7" t="s">
        <v>1572</v>
      </c>
      <c r="E429" s="15" t="s">
        <v>1573</v>
      </c>
      <c r="F429" s="7" t="s">
        <v>28</v>
      </c>
      <c r="G429" s="9"/>
      <c r="H429" s="7" t="s">
        <v>1574</v>
      </c>
      <c r="I429" s="7" t="s">
        <v>1570</v>
      </c>
      <c r="J429" s="8" t="s">
        <v>1543</v>
      </c>
      <c r="K429" s="6" t="s">
        <v>22</v>
      </c>
      <c r="L429" s="7"/>
      <c r="M429" s="8" t="s">
        <v>1544</v>
      </c>
    </row>
    <row r="430" customFormat="false" ht="15" hidden="false" customHeight="false" outlineLevel="0" collapsed="false">
      <c r="A430" s="3" t="s">
        <v>1575</v>
      </c>
      <c r="B430" s="3" t="s">
        <v>864</v>
      </c>
      <c r="C430" s="4" t="s">
        <v>31</v>
      </c>
      <c r="D430" s="3" t="s">
        <v>1576</v>
      </c>
      <c r="E430" s="14" t="s">
        <v>1577</v>
      </c>
      <c r="F430" s="3" t="s">
        <v>34</v>
      </c>
      <c r="G430" s="5"/>
      <c r="H430" s="3" t="s">
        <v>1578</v>
      </c>
      <c r="I430" s="3" t="s">
        <v>1570</v>
      </c>
      <c r="J430" s="4" t="s">
        <v>1543</v>
      </c>
      <c r="K430" s="6" t="s">
        <v>22</v>
      </c>
      <c r="L430" s="3"/>
      <c r="M430" s="4" t="s">
        <v>1544</v>
      </c>
    </row>
    <row r="431" customFormat="false" ht="15" hidden="false" customHeight="false" outlineLevel="0" collapsed="false">
      <c r="A431" s="7" t="s">
        <v>1579</v>
      </c>
      <c r="B431" s="7" t="s">
        <v>14</v>
      </c>
      <c r="C431" s="8" t="s">
        <v>15</v>
      </c>
      <c r="D431" s="7" t="s">
        <v>1580</v>
      </c>
      <c r="E431" s="15" t="s">
        <v>1581</v>
      </c>
      <c r="F431" s="7" t="s">
        <v>18</v>
      </c>
      <c r="G431" s="9"/>
      <c r="H431" s="7" t="s">
        <v>1582</v>
      </c>
      <c r="I431" s="7" t="s">
        <v>1583</v>
      </c>
      <c r="J431" s="8" t="s">
        <v>1543</v>
      </c>
      <c r="K431" s="6" t="s">
        <v>22</v>
      </c>
      <c r="L431" s="7"/>
      <c r="M431" s="8" t="s">
        <v>1544</v>
      </c>
    </row>
    <row r="432" customFormat="false" ht="15" hidden="false" customHeight="false" outlineLevel="0" collapsed="false">
      <c r="A432" s="3" t="s">
        <v>1584</v>
      </c>
      <c r="B432" s="3" t="s">
        <v>14</v>
      </c>
      <c r="C432" s="4" t="s">
        <v>25</v>
      </c>
      <c r="D432" s="3" t="s">
        <v>1585</v>
      </c>
      <c r="E432" s="14" t="s">
        <v>1586</v>
      </c>
      <c r="F432" s="3" t="s">
        <v>28</v>
      </c>
      <c r="G432" s="5"/>
      <c r="H432" s="3" t="s">
        <v>1587</v>
      </c>
      <c r="I432" s="3" t="s">
        <v>1583</v>
      </c>
      <c r="J432" s="4" t="s">
        <v>1543</v>
      </c>
      <c r="K432" s="6" t="s">
        <v>22</v>
      </c>
      <c r="L432" s="3"/>
      <c r="M432" s="4" t="s">
        <v>1544</v>
      </c>
    </row>
    <row r="433" customFormat="false" ht="15" hidden="false" customHeight="false" outlineLevel="0" collapsed="false">
      <c r="A433" s="7" t="s">
        <v>1588</v>
      </c>
      <c r="B433" s="7" t="s">
        <v>14</v>
      </c>
      <c r="C433" s="8" t="s">
        <v>31</v>
      </c>
      <c r="D433" s="7" t="s">
        <v>1589</v>
      </c>
      <c r="E433" s="15" t="s">
        <v>1590</v>
      </c>
      <c r="F433" s="7" t="s">
        <v>34</v>
      </c>
      <c r="G433" s="9"/>
      <c r="H433" s="7" t="s">
        <v>1591</v>
      </c>
      <c r="I433" s="7" t="s">
        <v>1583</v>
      </c>
      <c r="J433" s="8" t="s">
        <v>1543</v>
      </c>
      <c r="K433" s="6" t="s">
        <v>22</v>
      </c>
      <c r="L433" s="7"/>
      <c r="M433" s="8" t="s">
        <v>1544</v>
      </c>
    </row>
    <row r="434" customFormat="false" ht="15" hidden="false" customHeight="false" outlineLevel="0" collapsed="false">
      <c r="A434" s="3" t="s">
        <v>1592</v>
      </c>
      <c r="B434" s="3" t="s">
        <v>620</v>
      </c>
      <c r="C434" s="4" t="s">
        <v>15</v>
      </c>
      <c r="D434" s="3" t="s">
        <v>1593</v>
      </c>
      <c r="E434" s="14" t="s">
        <v>1594</v>
      </c>
      <c r="F434" s="3" t="s">
        <v>681</v>
      </c>
      <c r="G434" s="11" t="n">
        <v>2026</v>
      </c>
      <c r="H434" s="3" t="s">
        <v>1595</v>
      </c>
      <c r="I434" s="3" t="s">
        <v>1596</v>
      </c>
      <c r="J434" s="4" t="s">
        <v>1543</v>
      </c>
      <c r="K434" s="6" t="s">
        <v>22</v>
      </c>
      <c r="L434" s="3"/>
      <c r="M434" s="4" t="s">
        <v>1544</v>
      </c>
    </row>
    <row r="435" customFormat="false" ht="15" hidden="false" customHeight="false" outlineLevel="0" collapsed="false">
      <c r="A435" s="7" t="s">
        <v>1597</v>
      </c>
      <c r="B435" s="7" t="s">
        <v>620</v>
      </c>
      <c r="C435" s="8" t="s">
        <v>25</v>
      </c>
      <c r="D435" s="7" t="s">
        <v>1598</v>
      </c>
      <c r="E435" s="15" t="s">
        <v>1599</v>
      </c>
      <c r="F435" s="7" t="s">
        <v>687</v>
      </c>
      <c r="G435" s="10" t="n">
        <v>2026</v>
      </c>
      <c r="H435" s="7" t="s">
        <v>1600</v>
      </c>
      <c r="I435" s="7" t="s">
        <v>1596</v>
      </c>
      <c r="J435" s="8" t="s">
        <v>1543</v>
      </c>
      <c r="K435" s="6" t="s">
        <v>22</v>
      </c>
      <c r="L435" s="7"/>
      <c r="M435" s="8" t="s">
        <v>1544</v>
      </c>
    </row>
    <row r="436" customFormat="false" ht="15" hidden="false" customHeight="false" outlineLevel="0" collapsed="false">
      <c r="A436" s="3" t="s">
        <v>1601</v>
      </c>
      <c r="B436" s="3" t="s">
        <v>620</v>
      </c>
      <c r="C436" s="4" t="s">
        <v>31</v>
      </c>
      <c r="D436" s="3" t="s">
        <v>1602</v>
      </c>
      <c r="E436" s="14" t="s">
        <v>1603</v>
      </c>
      <c r="F436" s="3" t="s">
        <v>692</v>
      </c>
      <c r="G436" s="11" t="n">
        <v>2026</v>
      </c>
      <c r="H436" s="3" t="s">
        <v>1604</v>
      </c>
      <c r="I436" s="3" t="s">
        <v>1596</v>
      </c>
      <c r="J436" s="4" t="s">
        <v>1543</v>
      </c>
      <c r="K436" s="6" t="s">
        <v>22</v>
      </c>
      <c r="L436" s="3"/>
      <c r="M436" s="4" t="s">
        <v>1544</v>
      </c>
    </row>
    <row r="437" customFormat="false" ht="15" hidden="false" customHeight="false" outlineLevel="0" collapsed="false">
      <c r="A437" s="7" t="s">
        <v>1605</v>
      </c>
      <c r="B437" s="7" t="s">
        <v>448</v>
      </c>
      <c r="C437" s="8" t="s">
        <v>15</v>
      </c>
      <c r="D437" s="7" t="s">
        <v>1606</v>
      </c>
      <c r="E437" s="15" t="s">
        <v>1607</v>
      </c>
      <c r="F437" s="7" t="s">
        <v>1608</v>
      </c>
      <c r="G437" s="10" t="n">
        <v>2026</v>
      </c>
      <c r="H437" s="7" t="s">
        <v>1609</v>
      </c>
      <c r="I437" s="7" t="s">
        <v>1610</v>
      </c>
      <c r="J437" s="8" t="s">
        <v>1543</v>
      </c>
      <c r="K437" s="6" t="s">
        <v>22</v>
      </c>
      <c r="L437" s="7"/>
      <c r="M437" s="8" t="s">
        <v>1544</v>
      </c>
    </row>
    <row r="438" customFormat="false" ht="15" hidden="false" customHeight="false" outlineLevel="0" collapsed="false">
      <c r="A438" s="3" t="s">
        <v>1611</v>
      </c>
      <c r="B438" s="3" t="s">
        <v>448</v>
      </c>
      <c r="C438" s="4" t="s">
        <v>25</v>
      </c>
      <c r="D438" s="3" t="s">
        <v>1612</v>
      </c>
      <c r="E438" s="14" t="s">
        <v>1613</v>
      </c>
      <c r="F438" s="3" t="s">
        <v>1614</v>
      </c>
      <c r="G438" s="11" t="n">
        <v>2026</v>
      </c>
      <c r="H438" s="3" t="s">
        <v>1615</v>
      </c>
      <c r="I438" s="3" t="s">
        <v>1610</v>
      </c>
      <c r="J438" s="4" t="s">
        <v>1543</v>
      </c>
      <c r="K438" s="6" t="s">
        <v>22</v>
      </c>
      <c r="L438" s="3"/>
      <c r="M438" s="4" t="s">
        <v>1544</v>
      </c>
    </row>
    <row r="439" customFormat="false" ht="15" hidden="false" customHeight="false" outlineLevel="0" collapsed="false">
      <c r="A439" s="7" t="s">
        <v>1616</v>
      </c>
      <c r="B439" s="7" t="s">
        <v>448</v>
      </c>
      <c r="C439" s="8" t="s">
        <v>31</v>
      </c>
      <c r="D439" s="7" t="s">
        <v>1617</v>
      </c>
      <c r="E439" s="15" t="s">
        <v>1618</v>
      </c>
      <c r="F439" s="7" t="s">
        <v>1619</v>
      </c>
      <c r="G439" s="10" t="n">
        <v>2026</v>
      </c>
      <c r="H439" s="7" t="s">
        <v>1620</v>
      </c>
      <c r="I439" s="7" t="s">
        <v>1610</v>
      </c>
      <c r="J439" s="8" t="s">
        <v>1543</v>
      </c>
      <c r="K439" s="6" t="s">
        <v>22</v>
      </c>
      <c r="L439" s="7"/>
      <c r="M439" s="8" t="s">
        <v>1544</v>
      </c>
    </row>
    <row r="440" customFormat="false" ht="15" hidden="false" customHeight="false" outlineLevel="0" collapsed="false">
      <c r="A440" s="3" t="s">
        <v>1621</v>
      </c>
      <c r="B440" s="3" t="s">
        <v>695</v>
      </c>
      <c r="C440" s="4" t="s">
        <v>15</v>
      </c>
      <c r="D440" s="3" t="s">
        <v>1622</v>
      </c>
      <c r="E440" s="14" t="s">
        <v>1623</v>
      </c>
      <c r="F440" s="3" t="s">
        <v>1624</v>
      </c>
      <c r="G440" s="11" t="n">
        <v>2026</v>
      </c>
      <c r="H440" s="3" t="s">
        <v>1625</v>
      </c>
      <c r="I440" s="3" t="s">
        <v>1626</v>
      </c>
      <c r="J440" s="4" t="s">
        <v>1543</v>
      </c>
      <c r="K440" s="6" t="s">
        <v>22</v>
      </c>
      <c r="L440" s="3"/>
      <c r="M440" s="4" t="s">
        <v>1544</v>
      </c>
    </row>
    <row r="441" customFormat="false" ht="15" hidden="false" customHeight="false" outlineLevel="0" collapsed="false">
      <c r="A441" s="7" t="s">
        <v>1627</v>
      </c>
      <c r="B441" s="7" t="s">
        <v>695</v>
      </c>
      <c r="C441" s="8" t="s">
        <v>25</v>
      </c>
      <c r="D441" s="7" t="s">
        <v>1628</v>
      </c>
      <c r="E441" s="15" t="s">
        <v>1629</v>
      </c>
      <c r="F441" s="7" t="s">
        <v>1630</v>
      </c>
      <c r="G441" s="10" t="n">
        <v>2026</v>
      </c>
      <c r="H441" s="7" t="s">
        <v>1631</v>
      </c>
      <c r="I441" s="7" t="s">
        <v>1626</v>
      </c>
      <c r="J441" s="8" t="s">
        <v>1543</v>
      </c>
      <c r="K441" s="6" t="s">
        <v>22</v>
      </c>
      <c r="L441" s="7"/>
      <c r="M441" s="8" t="s">
        <v>1544</v>
      </c>
    </row>
    <row r="442" customFormat="false" ht="15" hidden="false" customHeight="false" outlineLevel="0" collapsed="false">
      <c r="A442" s="3" t="s">
        <v>1632</v>
      </c>
      <c r="B442" s="3" t="s">
        <v>695</v>
      </c>
      <c r="C442" s="4" t="s">
        <v>31</v>
      </c>
      <c r="D442" s="3" t="s">
        <v>1633</v>
      </c>
      <c r="E442" s="14" t="s">
        <v>1634</v>
      </c>
      <c r="F442" s="3" t="s">
        <v>1635</v>
      </c>
      <c r="G442" s="11" t="n">
        <v>2026</v>
      </c>
      <c r="H442" s="3" t="s">
        <v>1636</v>
      </c>
      <c r="I442" s="3" t="s">
        <v>1626</v>
      </c>
      <c r="J442" s="4" t="s">
        <v>1543</v>
      </c>
      <c r="K442" s="6" t="s">
        <v>22</v>
      </c>
      <c r="L442" s="3"/>
      <c r="M442" s="4" t="s">
        <v>1544</v>
      </c>
    </row>
    <row r="443" customFormat="false" ht="15" hidden="false" customHeight="false" outlineLevel="0" collapsed="false">
      <c r="A443" s="7" t="s">
        <v>1637</v>
      </c>
      <c r="B443" s="7" t="s">
        <v>91</v>
      </c>
      <c r="C443" s="8" t="s">
        <v>15</v>
      </c>
      <c r="D443" s="7" t="s">
        <v>1638</v>
      </c>
      <c r="E443" s="15" t="s">
        <v>1639</v>
      </c>
      <c r="F443" s="7" t="s">
        <v>1640</v>
      </c>
      <c r="G443" s="9"/>
      <c r="H443" s="7" t="s">
        <v>1641</v>
      </c>
      <c r="I443" s="7" t="s">
        <v>1642</v>
      </c>
      <c r="J443" s="8" t="s">
        <v>1543</v>
      </c>
      <c r="K443" s="6" t="s">
        <v>22</v>
      </c>
      <c r="L443" s="7"/>
      <c r="M443" s="8" t="s">
        <v>1544</v>
      </c>
    </row>
    <row r="444" customFormat="false" ht="15" hidden="false" customHeight="false" outlineLevel="0" collapsed="false">
      <c r="A444" s="3" t="s">
        <v>1643</v>
      </c>
      <c r="B444" s="3" t="s">
        <v>91</v>
      </c>
      <c r="C444" s="4" t="s">
        <v>25</v>
      </c>
      <c r="D444" s="3" t="s">
        <v>1644</v>
      </c>
      <c r="E444" s="14" t="s">
        <v>1645</v>
      </c>
      <c r="F444" s="3" t="s">
        <v>1646</v>
      </c>
      <c r="G444" s="5"/>
      <c r="H444" s="3" t="s">
        <v>1647</v>
      </c>
      <c r="I444" s="3" t="s">
        <v>1642</v>
      </c>
      <c r="J444" s="4" t="s">
        <v>1543</v>
      </c>
      <c r="K444" s="6" t="s">
        <v>22</v>
      </c>
      <c r="L444" s="3"/>
      <c r="M444" s="4" t="s">
        <v>1544</v>
      </c>
    </row>
    <row r="445" customFormat="false" ht="15" hidden="false" customHeight="false" outlineLevel="0" collapsed="false">
      <c r="A445" s="7" t="s">
        <v>1648</v>
      </c>
      <c r="B445" s="7" t="s">
        <v>91</v>
      </c>
      <c r="C445" s="8" t="s">
        <v>31</v>
      </c>
      <c r="D445" s="7" t="s">
        <v>1649</v>
      </c>
      <c r="E445" s="15" t="s">
        <v>1650</v>
      </c>
      <c r="F445" s="7" t="s">
        <v>1651</v>
      </c>
      <c r="G445" s="9"/>
      <c r="H445" s="7" t="s">
        <v>1652</v>
      </c>
      <c r="I445" s="7" t="s">
        <v>1642</v>
      </c>
      <c r="J445" s="8" t="s">
        <v>1543</v>
      </c>
      <c r="K445" s="6" t="s">
        <v>22</v>
      </c>
      <c r="L445" s="7"/>
      <c r="M445" s="8" t="s">
        <v>1544</v>
      </c>
    </row>
    <row r="446" customFormat="false" ht="15" hidden="false" customHeight="false" outlineLevel="0" collapsed="false">
      <c r="A446" s="3" t="s">
        <v>1653</v>
      </c>
      <c r="B446" s="3" t="s">
        <v>1060</v>
      </c>
      <c r="C446" s="4" t="s">
        <v>15</v>
      </c>
      <c r="D446" s="3" t="s">
        <v>1654</v>
      </c>
      <c r="E446" s="14" t="s">
        <v>1655</v>
      </c>
      <c r="F446" s="3" t="s">
        <v>1063</v>
      </c>
      <c r="G446" s="5"/>
      <c r="H446" s="3" t="s">
        <v>1656</v>
      </c>
      <c r="I446" s="3" t="s">
        <v>1657</v>
      </c>
      <c r="J446" s="4" t="s">
        <v>1543</v>
      </c>
      <c r="K446" s="6" t="s">
        <v>22</v>
      </c>
      <c r="L446" s="3"/>
      <c r="M446" s="4" t="s">
        <v>1544</v>
      </c>
    </row>
    <row r="447" customFormat="false" ht="15" hidden="false" customHeight="false" outlineLevel="0" collapsed="false">
      <c r="A447" s="7" t="s">
        <v>1658</v>
      </c>
      <c r="B447" s="7" t="s">
        <v>1060</v>
      </c>
      <c r="C447" s="8" t="s">
        <v>25</v>
      </c>
      <c r="D447" s="7" t="s">
        <v>1659</v>
      </c>
      <c r="E447" s="15" t="s">
        <v>1660</v>
      </c>
      <c r="F447" s="7" t="s">
        <v>1068</v>
      </c>
      <c r="G447" s="9"/>
      <c r="H447" s="7" t="s">
        <v>1661</v>
      </c>
      <c r="I447" s="7" t="s">
        <v>1657</v>
      </c>
      <c r="J447" s="8" t="s">
        <v>1543</v>
      </c>
      <c r="K447" s="6" t="s">
        <v>22</v>
      </c>
      <c r="L447" s="7"/>
      <c r="M447" s="8" t="s">
        <v>1544</v>
      </c>
    </row>
    <row r="448" customFormat="false" ht="15" hidden="false" customHeight="false" outlineLevel="0" collapsed="false">
      <c r="A448" s="3" t="s">
        <v>1662</v>
      </c>
      <c r="B448" s="3" t="s">
        <v>1060</v>
      </c>
      <c r="C448" s="4" t="s">
        <v>31</v>
      </c>
      <c r="D448" s="3" t="s">
        <v>1663</v>
      </c>
      <c r="E448" s="14" t="s">
        <v>1664</v>
      </c>
      <c r="F448" s="3" t="s">
        <v>1072</v>
      </c>
      <c r="G448" s="5"/>
      <c r="H448" s="3" t="s">
        <v>1665</v>
      </c>
      <c r="I448" s="3" t="s">
        <v>1657</v>
      </c>
      <c r="J448" s="4" t="s">
        <v>1543</v>
      </c>
      <c r="K448" s="6" t="s">
        <v>22</v>
      </c>
      <c r="L448" s="3"/>
      <c r="M448" s="4" t="s">
        <v>1544</v>
      </c>
    </row>
    <row r="449" customFormat="false" ht="15" hidden="false" customHeight="false" outlineLevel="0" collapsed="false">
      <c r="A449" s="7" t="s">
        <v>1666</v>
      </c>
      <c r="B449" s="7" t="s">
        <v>448</v>
      </c>
      <c r="C449" s="8" t="s">
        <v>15</v>
      </c>
      <c r="D449" s="7" t="s">
        <v>1667</v>
      </c>
      <c r="E449" s="15" t="s">
        <v>1668</v>
      </c>
      <c r="F449" s="7" t="s">
        <v>1669</v>
      </c>
      <c r="G449" s="9"/>
      <c r="H449" s="7" t="s">
        <v>1670</v>
      </c>
      <c r="I449" s="7" t="s">
        <v>1671</v>
      </c>
      <c r="J449" s="8" t="s">
        <v>1543</v>
      </c>
      <c r="K449" s="6" t="s">
        <v>22</v>
      </c>
      <c r="L449" s="7"/>
      <c r="M449" s="8" t="s">
        <v>1544</v>
      </c>
    </row>
    <row r="450" customFormat="false" ht="15" hidden="false" customHeight="false" outlineLevel="0" collapsed="false">
      <c r="A450" s="3" t="s">
        <v>1672</v>
      </c>
      <c r="B450" s="3" t="s">
        <v>448</v>
      </c>
      <c r="C450" s="4" t="s">
        <v>25</v>
      </c>
      <c r="D450" s="3" t="s">
        <v>1673</v>
      </c>
      <c r="E450" s="14" t="s">
        <v>1674</v>
      </c>
      <c r="F450" s="3" t="s">
        <v>1675</v>
      </c>
      <c r="G450" s="5"/>
      <c r="H450" s="3" t="s">
        <v>1676</v>
      </c>
      <c r="I450" s="3" t="s">
        <v>1671</v>
      </c>
      <c r="J450" s="4" t="s">
        <v>1543</v>
      </c>
      <c r="K450" s="6" t="s">
        <v>22</v>
      </c>
      <c r="L450" s="3"/>
      <c r="M450" s="4" t="s">
        <v>1544</v>
      </c>
    </row>
    <row r="451" customFormat="false" ht="15" hidden="false" customHeight="false" outlineLevel="0" collapsed="false">
      <c r="A451" s="7" t="s">
        <v>1677</v>
      </c>
      <c r="B451" s="7" t="s">
        <v>448</v>
      </c>
      <c r="C451" s="8" t="s">
        <v>31</v>
      </c>
      <c r="D451" s="7" t="s">
        <v>1678</v>
      </c>
      <c r="E451" s="15" t="s">
        <v>1679</v>
      </c>
      <c r="F451" s="7" t="s">
        <v>1680</v>
      </c>
      <c r="G451" s="9"/>
      <c r="H451" s="7" t="s">
        <v>1681</v>
      </c>
      <c r="I451" s="7" t="s">
        <v>1671</v>
      </c>
      <c r="J451" s="8" t="s">
        <v>1543</v>
      </c>
      <c r="K451" s="6" t="s">
        <v>22</v>
      </c>
      <c r="L451" s="7"/>
      <c r="M451" s="8" t="s">
        <v>1544</v>
      </c>
    </row>
    <row r="452" customFormat="false" ht="15" hidden="false" customHeight="false" outlineLevel="0" collapsed="false">
      <c r="A452" s="3" t="s">
        <v>1682</v>
      </c>
      <c r="B452" s="3" t="s">
        <v>448</v>
      </c>
      <c r="C452" s="4" t="s">
        <v>15</v>
      </c>
      <c r="D452" s="3" t="s">
        <v>1683</v>
      </c>
      <c r="E452" s="14" t="s">
        <v>1684</v>
      </c>
      <c r="F452" s="3" t="s">
        <v>1685</v>
      </c>
      <c r="G452" s="11" t="n">
        <v>2026</v>
      </c>
      <c r="H452" s="3" t="s">
        <v>1686</v>
      </c>
      <c r="I452" s="3" t="s">
        <v>1687</v>
      </c>
      <c r="J452" s="4" t="s">
        <v>1543</v>
      </c>
      <c r="K452" s="6" t="s">
        <v>22</v>
      </c>
      <c r="L452" s="3"/>
      <c r="M452" s="4" t="s">
        <v>1544</v>
      </c>
    </row>
    <row r="453" customFormat="false" ht="15" hidden="false" customHeight="false" outlineLevel="0" collapsed="false">
      <c r="A453" s="7" t="s">
        <v>1688</v>
      </c>
      <c r="B453" s="7" t="s">
        <v>448</v>
      </c>
      <c r="C453" s="8" t="s">
        <v>25</v>
      </c>
      <c r="D453" s="7" t="s">
        <v>1689</v>
      </c>
      <c r="E453" s="15" t="s">
        <v>1690</v>
      </c>
      <c r="F453" s="7" t="s">
        <v>1691</v>
      </c>
      <c r="G453" s="10" t="n">
        <v>2026</v>
      </c>
      <c r="H453" s="7" t="s">
        <v>1692</v>
      </c>
      <c r="I453" s="7" t="s">
        <v>1687</v>
      </c>
      <c r="J453" s="8" t="s">
        <v>1543</v>
      </c>
      <c r="K453" s="6" t="s">
        <v>22</v>
      </c>
      <c r="L453" s="7"/>
      <c r="M453" s="8" t="s">
        <v>1544</v>
      </c>
    </row>
    <row r="454" customFormat="false" ht="15" hidden="false" customHeight="false" outlineLevel="0" collapsed="false">
      <c r="A454" s="3" t="s">
        <v>1693</v>
      </c>
      <c r="B454" s="3" t="s">
        <v>448</v>
      </c>
      <c r="C454" s="4" t="s">
        <v>31</v>
      </c>
      <c r="D454" s="3" t="s">
        <v>1694</v>
      </c>
      <c r="E454" s="14" t="s">
        <v>1695</v>
      </c>
      <c r="F454" s="3" t="s">
        <v>1696</v>
      </c>
      <c r="G454" s="11" t="n">
        <v>2026</v>
      </c>
      <c r="H454" s="3" t="s">
        <v>1697</v>
      </c>
      <c r="I454" s="3" t="s">
        <v>1687</v>
      </c>
      <c r="J454" s="4" t="s">
        <v>1543</v>
      </c>
      <c r="K454" s="6" t="s">
        <v>22</v>
      </c>
      <c r="L454" s="3"/>
      <c r="M454" s="4" t="s">
        <v>1544</v>
      </c>
    </row>
    <row r="455" customFormat="false" ht="15" hidden="false" customHeight="false" outlineLevel="0" collapsed="false">
      <c r="A455" s="7" t="s">
        <v>1698</v>
      </c>
      <c r="B455" s="7" t="s">
        <v>823</v>
      </c>
      <c r="C455" s="8" t="s">
        <v>15</v>
      </c>
      <c r="D455" s="7" t="s">
        <v>1699</v>
      </c>
      <c r="E455" s="15" t="s">
        <v>1700</v>
      </c>
      <c r="F455" s="7" t="s">
        <v>1701</v>
      </c>
      <c r="G455" s="9"/>
      <c r="H455" s="7" t="s">
        <v>1702</v>
      </c>
      <c r="I455" s="7" t="s">
        <v>1703</v>
      </c>
      <c r="J455" s="8" t="s">
        <v>1543</v>
      </c>
      <c r="K455" s="6" t="s">
        <v>22</v>
      </c>
      <c r="L455" s="7"/>
      <c r="M455" s="8" t="s">
        <v>1544</v>
      </c>
    </row>
    <row r="456" customFormat="false" ht="15" hidden="false" customHeight="false" outlineLevel="0" collapsed="false">
      <c r="A456" s="3" t="s">
        <v>1704</v>
      </c>
      <c r="B456" s="3" t="s">
        <v>823</v>
      </c>
      <c r="C456" s="4" t="s">
        <v>25</v>
      </c>
      <c r="D456" s="3" t="s">
        <v>1705</v>
      </c>
      <c r="E456" s="14" t="s">
        <v>1706</v>
      </c>
      <c r="F456" s="3" t="s">
        <v>1707</v>
      </c>
      <c r="G456" s="5"/>
      <c r="H456" s="3" t="s">
        <v>1708</v>
      </c>
      <c r="I456" s="3" t="s">
        <v>1703</v>
      </c>
      <c r="J456" s="4" t="s">
        <v>1543</v>
      </c>
      <c r="K456" s="6" t="s">
        <v>22</v>
      </c>
      <c r="L456" s="3"/>
      <c r="M456" s="4" t="s">
        <v>1544</v>
      </c>
    </row>
    <row r="457" customFormat="false" ht="15" hidden="false" customHeight="false" outlineLevel="0" collapsed="false">
      <c r="A457" s="7" t="s">
        <v>1709</v>
      </c>
      <c r="B457" s="7" t="s">
        <v>823</v>
      </c>
      <c r="C457" s="8" t="s">
        <v>31</v>
      </c>
      <c r="D457" s="7" t="s">
        <v>1710</v>
      </c>
      <c r="E457" s="15" t="s">
        <v>1711</v>
      </c>
      <c r="F457" s="7" t="s">
        <v>1712</v>
      </c>
      <c r="G457" s="9"/>
      <c r="H457" s="7" t="s">
        <v>1713</v>
      </c>
      <c r="I457" s="7" t="s">
        <v>1703</v>
      </c>
      <c r="J457" s="8" t="s">
        <v>1543</v>
      </c>
      <c r="K457" s="6" t="s">
        <v>22</v>
      </c>
      <c r="L457" s="7"/>
      <c r="M457" s="8" t="s">
        <v>1544</v>
      </c>
    </row>
    <row r="458" customFormat="false" ht="15" hidden="false" customHeight="false" outlineLevel="0" collapsed="false">
      <c r="A458" s="3" t="s">
        <v>1714</v>
      </c>
      <c r="B458" s="3" t="s">
        <v>14</v>
      </c>
      <c r="C458" s="4" t="s">
        <v>15</v>
      </c>
      <c r="D458" s="3" t="s">
        <v>1715</v>
      </c>
      <c r="E458" s="14" t="s">
        <v>1716</v>
      </c>
      <c r="F458" s="3" t="s">
        <v>1717</v>
      </c>
      <c r="G458" s="5"/>
      <c r="H458" s="3" t="s">
        <v>1718</v>
      </c>
      <c r="I458" s="3" t="s">
        <v>1719</v>
      </c>
      <c r="J458" s="4" t="s">
        <v>1543</v>
      </c>
      <c r="K458" s="6" t="s">
        <v>22</v>
      </c>
      <c r="L458" s="3"/>
      <c r="M458" s="4" t="s">
        <v>1544</v>
      </c>
    </row>
    <row r="459" customFormat="false" ht="15" hidden="false" customHeight="false" outlineLevel="0" collapsed="false">
      <c r="A459" s="7" t="s">
        <v>1720</v>
      </c>
      <c r="B459" s="7" t="s">
        <v>14</v>
      </c>
      <c r="C459" s="8" t="s">
        <v>25</v>
      </c>
      <c r="D459" s="7" t="s">
        <v>1721</v>
      </c>
      <c r="E459" s="15" t="s">
        <v>1722</v>
      </c>
      <c r="F459" s="7" t="s">
        <v>1723</v>
      </c>
      <c r="G459" s="9"/>
      <c r="H459" s="7" t="s">
        <v>1724</v>
      </c>
      <c r="I459" s="7" t="s">
        <v>1719</v>
      </c>
      <c r="J459" s="8" t="s">
        <v>1543</v>
      </c>
      <c r="K459" s="6" t="s">
        <v>22</v>
      </c>
      <c r="L459" s="7"/>
      <c r="M459" s="8" t="s">
        <v>1544</v>
      </c>
    </row>
    <row r="460" customFormat="false" ht="15" hidden="false" customHeight="false" outlineLevel="0" collapsed="false">
      <c r="A460" s="3" t="s">
        <v>1725</v>
      </c>
      <c r="B460" s="3" t="s">
        <v>14</v>
      </c>
      <c r="C460" s="4" t="s">
        <v>31</v>
      </c>
      <c r="D460" s="3" t="s">
        <v>1726</v>
      </c>
      <c r="E460" s="14" t="s">
        <v>1727</v>
      </c>
      <c r="F460" s="3" t="s">
        <v>1728</v>
      </c>
      <c r="G460" s="5"/>
      <c r="H460" s="3" t="s">
        <v>1729</v>
      </c>
      <c r="I460" s="3" t="s">
        <v>1719</v>
      </c>
      <c r="J460" s="4" t="s">
        <v>1543</v>
      </c>
      <c r="K460" s="6" t="s">
        <v>22</v>
      </c>
      <c r="L460" s="3"/>
      <c r="M460" s="4" t="s">
        <v>1544</v>
      </c>
    </row>
    <row r="461" customFormat="false" ht="15" hidden="false" customHeight="false" outlineLevel="0" collapsed="false">
      <c r="A461" s="7" t="s">
        <v>1730</v>
      </c>
      <c r="B461" s="7" t="s">
        <v>91</v>
      </c>
      <c r="C461" s="8" t="s">
        <v>15</v>
      </c>
      <c r="D461" s="7" t="s">
        <v>1731</v>
      </c>
      <c r="E461" s="7" t="s">
        <v>1732</v>
      </c>
      <c r="F461" s="7" t="s">
        <v>1717</v>
      </c>
      <c r="G461" s="9"/>
      <c r="H461" s="7" t="s">
        <v>1733</v>
      </c>
      <c r="I461" s="7" t="s">
        <v>1734</v>
      </c>
      <c r="J461" s="8" t="s">
        <v>21</v>
      </c>
      <c r="K461" s="6" t="s">
        <v>22</v>
      </c>
      <c r="L461" s="7"/>
      <c r="M461" s="8" t="s">
        <v>1544</v>
      </c>
    </row>
    <row r="462" customFormat="false" ht="15" hidden="false" customHeight="false" outlineLevel="0" collapsed="false">
      <c r="A462" s="3" t="s">
        <v>1735</v>
      </c>
      <c r="B462" s="3" t="s">
        <v>91</v>
      </c>
      <c r="C462" s="4" t="s">
        <v>25</v>
      </c>
      <c r="D462" s="3" t="s">
        <v>1736</v>
      </c>
      <c r="E462" s="3" t="s">
        <v>1737</v>
      </c>
      <c r="F462" s="3" t="s">
        <v>1723</v>
      </c>
      <c r="G462" s="5"/>
      <c r="H462" s="3" t="s">
        <v>1738</v>
      </c>
      <c r="I462" s="3" t="s">
        <v>1734</v>
      </c>
      <c r="J462" s="4" t="s">
        <v>21</v>
      </c>
      <c r="K462" s="6" t="s">
        <v>22</v>
      </c>
      <c r="L462" s="3"/>
      <c r="M462" s="4" t="s">
        <v>1544</v>
      </c>
    </row>
    <row r="463" customFormat="false" ht="15" hidden="false" customHeight="false" outlineLevel="0" collapsed="false">
      <c r="A463" s="7" t="s">
        <v>1739</v>
      </c>
      <c r="B463" s="7" t="s">
        <v>91</v>
      </c>
      <c r="C463" s="8" t="s">
        <v>31</v>
      </c>
      <c r="D463" s="7" t="s">
        <v>1740</v>
      </c>
      <c r="E463" s="7" t="s">
        <v>1741</v>
      </c>
      <c r="F463" s="7" t="s">
        <v>1728</v>
      </c>
      <c r="G463" s="9"/>
      <c r="H463" s="7" t="s">
        <v>1742</v>
      </c>
      <c r="I463" s="7" t="s">
        <v>1734</v>
      </c>
      <c r="J463" s="8" t="s">
        <v>21</v>
      </c>
      <c r="K463" s="6" t="s">
        <v>22</v>
      </c>
      <c r="L463" s="7"/>
      <c r="M463" s="8" t="s">
        <v>1544</v>
      </c>
    </row>
    <row r="464" customFormat="false" ht="15" hidden="false" customHeight="false" outlineLevel="0" collapsed="false">
      <c r="A464" s="3" t="s">
        <v>1743</v>
      </c>
      <c r="B464" s="3" t="s">
        <v>823</v>
      </c>
      <c r="C464" s="4" t="s">
        <v>15</v>
      </c>
      <c r="D464" s="3" t="s">
        <v>1744</v>
      </c>
      <c r="E464" s="3" t="s">
        <v>1745</v>
      </c>
      <c r="F464" s="3" t="s">
        <v>1717</v>
      </c>
      <c r="G464" s="5"/>
      <c r="H464" s="3" t="s">
        <v>1733</v>
      </c>
      <c r="I464" s="3" t="s">
        <v>1746</v>
      </c>
      <c r="J464" s="4" t="s">
        <v>21</v>
      </c>
      <c r="K464" s="6" t="s">
        <v>22</v>
      </c>
      <c r="L464" s="3"/>
      <c r="M464" s="4" t="s">
        <v>1544</v>
      </c>
    </row>
    <row r="465" customFormat="false" ht="15" hidden="false" customHeight="false" outlineLevel="0" collapsed="false">
      <c r="A465" s="7" t="s">
        <v>1747</v>
      </c>
      <c r="B465" s="7" t="s">
        <v>823</v>
      </c>
      <c r="C465" s="8" t="s">
        <v>25</v>
      </c>
      <c r="D465" s="7" t="s">
        <v>1748</v>
      </c>
      <c r="E465" s="7" t="s">
        <v>1749</v>
      </c>
      <c r="F465" s="7" t="s">
        <v>1723</v>
      </c>
      <c r="G465" s="9"/>
      <c r="H465" s="7" t="s">
        <v>1738</v>
      </c>
      <c r="I465" s="7" t="s">
        <v>1746</v>
      </c>
      <c r="J465" s="8" t="s">
        <v>21</v>
      </c>
      <c r="K465" s="6" t="s">
        <v>22</v>
      </c>
      <c r="L465" s="7"/>
      <c r="M465" s="8" t="s">
        <v>1544</v>
      </c>
    </row>
    <row r="466" customFormat="false" ht="15" hidden="false" customHeight="false" outlineLevel="0" collapsed="false">
      <c r="A466" s="3" t="s">
        <v>1750</v>
      </c>
      <c r="B466" s="3" t="s">
        <v>823</v>
      </c>
      <c r="C466" s="4" t="s">
        <v>31</v>
      </c>
      <c r="D466" s="3" t="s">
        <v>1751</v>
      </c>
      <c r="E466" s="3" t="s">
        <v>1752</v>
      </c>
      <c r="F466" s="3" t="s">
        <v>1728</v>
      </c>
      <c r="G466" s="5"/>
      <c r="H466" s="3" t="s">
        <v>1742</v>
      </c>
      <c r="I466" s="3" t="s">
        <v>1746</v>
      </c>
      <c r="J466" s="4" t="s">
        <v>21</v>
      </c>
      <c r="K466" s="6" t="s">
        <v>22</v>
      </c>
      <c r="L466" s="3"/>
      <c r="M466" s="4" t="s">
        <v>1544</v>
      </c>
    </row>
    <row r="467" customFormat="false" ht="15" hidden="false" customHeight="false" outlineLevel="0" collapsed="false">
      <c r="A467" s="7" t="s">
        <v>1753</v>
      </c>
      <c r="B467" s="7" t="s">
        <v>758</v>
      </c>
      <c r="C467" s="8" t="s">
        <v>15</v>
      </c>
      <c r="D467" s="7" t="s">
        <v>1754</v>
      </c>
      <c r="E467" s="7" t="s">
        <v>1755</v>
      </c>
      <c r="F467" s="7" t="s">
        <v>1717</v>
      </c>
      <c r="G467" s="9"/>
      <c r="H467" s="7" t="s">
        <v>1733</v>
      </c>
      <c r="I467" s="7" t="s">
        <v>1756</v>
      </c>
      <c r="J467" s="8" t="s">
        <v>21</v>
      </c>
      <c r="K467" s="6" t="s">
        <v>22</v>
      </c>
      <c r="L467" s="7"/>
      <c r="M467" s="8" t="s">
        <v>1544</v>
      </c>
    </row>
    <row r="468" customFormat="false" ht="15" hidden="false" customHeight="false" outlineLevel="0" collapsed="false">
      <c r="A468" s="3" t="s">
        <v>1757</v>
      </c>
      <c r="B468" s="3" t="s">
        <v>758</v>
      </c>
      <c r="C468" s="4" t="s">
        <v>25</v>
      </c>
      <c r="D468" s="3" t="s">
        <v>1758</v>
      </c>
      <c r="E468" s="3" t="s">
        <v>1759</v>
      </c>
      <c r="F468" s="3" t="s">
        <v>1723</v>
      </c>
      <c r="G468" s="5"/>
      <c r="H468" s="3" t="s">
        <v>1738</v>
      </c>
      <c r="I468" s="3" t="s">
        <v>1756</v>
      </c>
      <c r="J468" s="4" t="s">
        <v>21</v>
      </c>
      <c r="K468" s="6" t="s">
        <v>22</v>
      </c>
      <c r="L468" s="3"/>
      <c r="M468" s="4" t="s">
        <v>1544</v>
      </c>
    </row>
    <row r="469" customFormat="false" ht="15" hidden="false" customHeight="false" outlineLevel="0" collapsed="false">
      <c r="A469" s="7" t="s">
        <v>1760</v>
      </c>
      <c r="B469" s="7" t="s">
        <v>758</v>
      </c>
      <c r="C469" s="8" t="s">
        <v>31</v>
      </c>
      <c r="D469" s="7" t="s">
        <v>1761</v>
      </c>
      <c r="E469" s="7" t="s">
        <v>1762</v>
      </c>
      <c r="F469" s="7" t="s">
        <v>1728</v>
      </c>
      <c r="G469" s="9"/>
      <c r="H469" s="7" t="s">
        <v>1742</v>
      </c>
      <c r="I469" s="7" t="s">
        <v>1756</v>
      </c>
      <c r="J469" s="8" t="s">
        <v>21</v>
      </c>
      <c r="K469" s="6" t="s">
        <v>22</v>
      </c>
      <c r="L469" s="7"/>
      <c r="M469" s="8" t="s">
        <v>1544</v>
      </c>
    </row>
    <row r="470" customFormat="false" ht="15" hidden="false" customHeight="false" outlineLevel="0" collapsed="false">
      <c r="A470" s="3" t="s">
        <v>1763</v>
      </c>
      <c r="B470" s="3" t="s">
        <v>1764</v>
      </c>
      <c r="C470" s="4" t="s">
        <v>15</v>
      </c>
      <c r="D470" s="3" t="s">
        <v>1765</v>
      </c>
      <c r="E470" s="3" t="s">
        <v>1766</v>
      </c>
      <c r="F470" s="3" t="s">
        <v>18</v>
      </c>
      <c r="G470" s="11" t="n">
        <v>2026</v>
      </c>
      <c r="H470" s="3" t="s">
        <v>1767</v>
      </c>
      <c r="I470" s="3" t="s">
        <v>1768</v>
      </c>
      <c r="J470" s="4" t="s">
        <v>1769</v>
      </c>
      <c r="K470" s="16" t="s">
        <v>1770</v>
      </c>
      <c r="L470" s="3"/>
      <c r="M470" s="4" t="s">
        <v>1771</v>
      </c>
    </row>
    <row r="471" customFormat="false" ht="15" hidden="false" customHeight="false" outlineLevel="0" collapsed="false">
      <c r="A471" s="7" t="s">
        <v>1772</v>
      </c>
      <c r="B471" s="7" t="s">
        <v>1764</v>
      </c>
      <c r="C471" s="8" t="s">
        <v>25</v>
      </c>
      <c r="D471" s="7" t="s">
        <v>1773</v>
      </c>
      <c r="E471" s="7" t="s">
        <v>1774</v>
      </c>
      <c r="F471" s="7" t="s">
        <v>28</v>
      </c>
      <c r="G471" s="10" t="n">
        <v>2026</v>
      </c>
      <c r="H471" s="7" t="s">
        <v>1775</v>
      </c>
      <c r="I471" s="7" t="s">
        <v>1768</v>
      </c>
      <c r="J471" s="8" t="s">
        <v>1769</v>
      </c>
      <c r="K471" s="16" t="s">
        <v>1770</v>
      </c>
      <c r="L471" s="7"/>
      <c r="M471" s="8" t="s">
        <v>1771</v>
      </c>
    </row>
    <row r="472" customFormat="false" ht="15" hidden="false" customHeight="false" outlineLevel="0" collapsed="false">
      <c r="A472" s="3" t="s">
        <v>1776</v>
      </c>
      <c r="B472" s="3" t="s">
        <v>1764</v>
      </c>
      <c r="C472" s="4" t="s">
        <v>31</v>
      </c>
      <c r="D472" s="3" t="s">
        <v>1777</v>
      </c>
      <c r="E472" s="3" t="s">
        <v>1778</v>
      </c>
      <c r="F472" s="3" t="s">
        <v>34</v>
      </c>
      <c r="G472" s="11" t="n">
        <v>2026</v>
      </c>
      <c r="H472" s="3" t="s">
        <v>1779</v>
      </c>
      <c r="I472" s="3" t="s">
        <v>1768</v>
      </c>
      <c r="J472" s="4" t="s">
        <v>1769</v>
      </c>
      <c r="K472" s="16" t="s">
        <v>1770</v>
      </c>
      <c r="L472" s="3"/>
      <c r="M472" s="4" t="s">
        <v>1771</v>
      </c>
    </row>
    <row r="473" customFormat="false" ht="15" hidden="false" customHeight="false" outlineLevel="0" collapsed="false">
      <c r="A473" s="7" t="s">
        <v>1780</v>
      </c>
      <c r="B473" s="7" t="s">
        <v>1764</v>
      </c>
      <c r="C473" s="8" t="s">
        <v>15</v>
      </c>
      <c r="D473" s="7" t="s">
        <v>1781</v>
      </c>
      <c r="E473" s="7" t="s">
        <v>1766</v>
      </c>
      <c r="F473" s="7" t="s">
        <v>18</v>
      </c>
      <c r="G473" s="9"/>
      <c r="H473" s="7" t="s">
        <v>1782</v>
      </c>
      <c r="I473" s="7" t="s">
        <v>1783</v>
      </c>
      <c r="J473" s="8" t="s">
        <v>1769</v>
      </c>
      <c r="K473" s="16" t="s">
        <v>1770</v>
      </c>
      <c r="L473" s="7"/>
      <c r="M473" s="8" t="s">
        <v>1771</v>
      </c>
    </row>
    <row r="474" customFormat="false" ht="15" hidden="false" customHeight="false" outlineLevel="0" collapsed="false">
      <c r="A474" s="3" t="s">
        <v>1784</v>
      </c>
      <c r="B474" s="3" t="s">
        <v>1764</v>
      </c>
      <c r="C474" s="4" t="s">
        <v>25</v>
      </c>
      <c r="D474" s="3" t="s">
        <v>1785</v>
      </c>
      <c r="E474" s="3" t="s">
        <v>1774</v>
      </c>
      <c r="F474" s="3" t="s">
        <v>28</v>
      </c>
      <c r="G474" s="5"/>
      <c r="H474" s="3" t="s">
        <v>1786</v>
      </c>
      <c r="I474" s="3" t="s">
        <v>1783</v>
      </c>
      <c r="J474" s="4" t="s">
        <v>1769</v>
      </c>
      <c r="K474" s="16" t="s">
        <v>1770</v>
      </c>
      <c r="L474" s="3"/>
      <c r="M474" s="4" t="s">
        <v>1771</v>
      </c>
    </row>
    <row r="475" customFormat="false" ht="15" hidden="false" customHeight="false" outlineLevel="0" collapsed="false">
      <c r="A475" s="7" t="s">
        <v>1787</v>
      </c>
      <c r="B475" s="7" t="s">
        <v>1764</v>
      </c>
      <c r="C475" s="8" t="s">
        <v>31</v>
      </c>
      <c r="D475" s="7" t="s">
        <v>1788</v>
      </c>
      <c r="E475" s="7" t="s">
        <v>1778</v>
      </c>
      <c r="F475" s="7" t="s">
        <v>34</v>
      </c>
      <c r="G475" s="9"/>
      <c r="H475" s="7" t="s">
        <v>1789</v>
      </c>
      <c r="I475" s="7" t="s">
        <v>1783</v>
      </c>
      <c r="J475" s="8" t="s">
        <v>1769</v>
      </c>
      <c r="K475" s="16" t="s">
        <v>1770</v>
      </c>
      <c r="L475" s="7"/>
      <c r="M475" s="8" t="s">
        <v>1771</v>
      </c>
    </row>
    <row r="476" customFormat="false" ht="15" hidden="false" customHeight="false" outlineLevel="0" collapsed="false">
      <c r="A476" s="3" t="s">
        <v>1790</v>
      </c>
      <c r="B476" s="3" t="s">
        <v>1764</v>
      </c>
      <c r="C476" s="4" t="s">
        <v>15</v>
      </c>
      <c r="D476" s="3" t="s">
        <v>1791</v>
      </c>
      <c r="E476" s="3" t="s">
        <v>1766</v>
      </c>
      <c r="F476" s="3" t="s">
        <v>18</v>
      </c>
      <c r="G476" s="5"/>
      <c r="H476" s="3" t="s">
        <v>1792</v>
      </c>
      <c r="I476" s="3" t="s">
        <v>1793</v>
      </c>
      <c r="J476" s="4" t="s">
        <v>1769</v>
      </c>
      <c r="K476" s="16" t="s">
        <v>1770</v>
      </c>
      <c r="L476" s="3"/>
      <c r="M476" s="4" t="s">
        <v>1771</v>
      </c>
    </row>
    <row r="477" customFormat="false" ht="15" hidden="false" customHeight="false" outlineLevel="0" collapsed="false">
      <c r="A477" s="7" t="s">
        <v>1794</v>
      </c>
      <c r="B477" s="7" t="s">
        <v>1764</v>
      </c>
      <c r="C477" s="8" t="s">
        <v>25</v>
      </c>
      <c r="D477" s="7" t="s">
        <v>1795</v>
      </c>
      <c r="E477" s="7" t="s">
        <v>1774</v>
      </c>
      <c r="F477" s="7" t="s">
        <v>28</v>
      </c>
      <c r="G477" s="9"/>
      <c r="H477" s="7" t="s">
        <v>1796</v>
      </c>
      <c r="I477" s="7" t="s">
        <v>1793</v>
      </c>
      <c r="J477" s="8" t="s">
        <v>1769</v>
      </c>
      <c r="K477" s="16" t="s">
        <v>1770</v>
      </c>
      <c r="L477" s="7"/>
      <c r="M477" s="8" t="s">
        <v>1771</v>
      </c>
    </row>
    <row r="478" customFormat="false" ht="15" hidden="false" customHeight="false" outlineLevel="0" collapsed="false">
      <c r="A478" s="3" t="s">
        <v>1797</v>
      </c>
      <c r="B478" s="3" t="s">
        <v>1764</v>
      </c>
      <c r="C478" s="4" t="s">
        <v>31</v>
      </c>
      <c r="D478" s="3" t="s">
        <v>1798</v>
      </c>
      <c r="E478" s="3" t="s">
        <v>1778</v>
      </c>
      <c r="F478" s="3" t="s">
        <v>34</v>
      </c>
      <c r="G478" s="5"/>
      <c r="H478" s="3" t="s">
        <v>1799</v>
      </c>
      <c r="I478" s="3" t="s">
        <v>1793</v>
      </c>
      <c r="J478" s="4" t="s">
        <v>1769</v>
      </c>
      <c r="K478" s="16" t="s">
        <v>1770</v>
      </c>
      <c r="L478" s="3"/>
      <c r="M478" s="4" t="s">
        <v>1771</v>
      </c>
    </row>
    <row r="479" customFormat="false" ht="15" hidden="false" customHeight="false" outlineLevel="0" collapsed="false">
      <c r="A479" s="7" t="s">
        <v>1800</v>
      </c>
      <c r="B479" s="7" t="s">
        <v>1764</v>
      </c>
      <c r="C479" s="8" t="s">
        <v>15</v>
      </c>
      <c r="D479" s="7" t="s">
        <v>1801</v>
      </c>
      <c r="E479" s="7" t="s">
        <v>1766</v>
      </c>
      <c r="F479" s="7" t="s">
        <v>18</v>
      </c>
      <c r="G479" s="9"/>
      <c r="H479" s="7" t="s">
        <v>1802</v>
      </c>
      <c r="I479" s="7" t="s">
        <v>1803</v>
      </c>
      <c r="J479" s="8" t="s">
        <v>1769</v>
      </c>
      <c r="K479" s="16" t="s">
        <v>1770</v>
      </c>
      <c r="L479" s="7"/>
      <c r="M479" s="8" t="s">
        <v>1771</v>
      </c>
    </row>
    <row r="480" customFormat="false" ht="15" hidden="false" customHeight="false" outlineLevel="0" collapsed="false">
      <c r="A480" s="3" t="s">
        <v>1804</v>
      </c>
      <c r="B480" s="3" t="s">
        <v>1764</v>
      </c>
      <c r="C480" s="4" t="s">
        <v>25</v>
      </c>
      <c r="D480" s="3" t="s">
        <v>1805</v>
      </c>
      <c r="E480" s="3" t="s">
        <v>1774</v>
      </c>
      <c r="F480" s="3" t="s">
        <v>28</v>
      </c>
      <c r="G480" s="5"/>
      <c r="H480" s="3" t="s">
        <v>1806</v>
      </c>
      <c r="I480" s="3" t="s">
        <v>1803</v>
      </c>
      <c r="J480" s="4" t="s">
        <v>1769</v>
      </c>
      <c r="K480" s="16" t="s">
        <v>1770</v>
      </c>
      <c r="L480" s="3"/>
      <c r="M480" s="4" t="s">
        <v>1771</v>
      </c>
    </row>
    <row r="481" customFormat="false" ht="15" hidden="false" customHeight="false" outlineLevel="0" collapsed="false">
      <c r="A481" s="7" t="s">
        <v>1807</v>
      </c>
      <c r="B481" s="7" t="s">
        <v>1764</v>
      </c>
      <c r="C481" s="8" t="s">
        <v>31</v>
      </c>
      <c r="D481" s="7" t="s">
        <v>1808</v>
      </c>
      <c r="E481" s="7" t="s">
        <v>1778</v>
      </c>
      <c r="F481" s="7" t="s">
        <v>34</v>
      </c>
      <c r="G481" s="9"/>
      <c r="H481" s="7" t="s">
        <v>1809</v>
      </c>
      <c r="I481" s="7" t="s">
        <v>1803</v>
      </c>
      <c r="J481" s="8" t="s">
        <v>1769</v>
      </c>
      <c r="K481" s="16" t="s">
        <v>1770</v>
      </c>
      <c r="L481" s="7"/>
      <c r="M481" s="8" t="s">
        <v>1771</v>
      </c>
    </row>
    <row r="482" customFormat="false" ht="15" hidden="false" customHeight="false" outlineLevel="0" collapsed="false">
      <c r="A482" s="3" t="s">
        <v>1810</v>
      </c>
      <c r="B482" s="3" t="s">
        <v>1764</v>
      </c>
      <c r="C482" s="4" t="s">
        <v>15</v>
      </c>
      <c r="D482" s="3" t="s">
        <v>1811</v>
      </c>
      <c r="E482" s="3" t="s">
        <v>1766</v>
      </c>
      <c r="F482" s="3" t="s">
        <v>18</v>
      </c>
      <c r="G482" s="5"/>
      <c r="H482" s="3" t="s">
        <v>1812</v>
      </c>
      <c r="I482" s="3" t="s">
        <v>1813</v>
      </c>
      <c r="J482" s="4" t="s">
        <v>1769</v>
      </c>
      <c r="K482" s="16" t="s">
        <v>1770</v>
      </c>
      <c r="L482" s="3"/>
      <c r="M482" s="4" t="s">
        <v>1771</v>
      </c>
    </row>
    <row r="483" customFormat="false" ht="15" hidden="false" customHeight="false" outlineLevel="0" collapsed="false">
      <c r="A483" s="7" t="s">
        <v>1814</v>
      </c>
      <c r="B483" s="7" t="s">
        <v>1764</v>
      </c>
      <c r="C483" s="8" t="s">
        <v>25</v>
      </c>
      <c r="D483" s="7" t="s">
        <v>1815</v>
      </c>
      <c r="E483" s="7" t="s">
        <v>1774</v>
      </c>
      <c r="F483" s="7" t="s">
        <v>28</v>
      </c>
      <c r="G483" s="9"/>
      <c r="H483" s="7" t="s">
        <v>1816</v>
      </c>
      <c r="I483" s="7" t="s">
        <v>1813</v>
      </c>
      <c r="J483" s="8" t="s">
        <v>1769</v>
      </c>
      <c r="K483" s="16" t="s">
        <v>1770</v>
      </c>
      <c r="L483" s="7"/>
      <c r="M483" s="8" t="s">
        <v>1771</v>
      </c>
    </row>
    <row r="484" customFormat="false" ht="15" hidden="false" customHeight="false" outlineLevel="0" collapsed="false">
      <c r="A484" s="3" t="s">
        <v>1817</v>
      </c>
      <c r="B484" s="3" t="s">
        <v>1764</v>
      </c>
      <c r="C484" s="4" t="s">
        <v>31</v>
      </c>
      <c r="D484" s="3" t="s">
        <v>1818</v>
      </c>
      <c r="E484" s="3" t="s">
        <v>1778</v>
      </c>
      <c r="F484" s="3" t="s">
        <v>34</v>
      </c>
      <c r="G484" s="5"/>
      <c r="H484" s="3" t="s">
        <v>1819</v>
      </c>
      <c r="I484" s="3" t="s">
        <v>1813</v>
      </c>
      <c r="J484" s="4" t="s">
        <v>1769</v>
      </c>
      <c r="K484" s="16" t="s">
        <v>1770</v>
      </c>
      <c r="L484" s="3"/>
      <c r="M484" s="4" t="s">
        <v>1771</v>
      </c>
    </row>
    <row r="485" customFormat="false" ht="15" hidden="false" customHeight="false" outlineLevel="0" collapsed="false">
      <c r="A485" s="7" t="s">
        <v>1820</v>
      </c>
      <c r="B485" s="7" t="s">
        <v>1764</v>
      </c>
      <c r="C485" s="8" t="s">
        <v>15</v>
      </c>
      <c r="D485" s="7" t="s">
        <v>1821</v>
      </c>
      <c r="E485" s="7" t="s">
        <v>1766</v>
      </c>
      <c r="F485" s="7" t="s">
        <v>18</v>
      </c>
      <c r="G485" s="9"/>
      <c r="H485" s="7" t="s">
        <v>1822</v>
      </c>
      <c r="I485" s="7" t="s">
        <v>1823</v>
      </c>
      <c r="J485" s="8" t="s">
        <v>1769</v>
      </c>
      <c r="K485" s="16" t="s">
        <v>1770</v>
      </c>
      <c r="L485" s="7"/>
      <c r="M485" s="8" t="s">
        <v>1771</v>
      </c>
    </row>
    <row r="486" customFormat="false" ht="15" hidden="false" customHeight="false" outlineLevel="0" collapsed="false">
      <c r="A486" s="3" t="s">
        <v>1824</v>
      </c>
      <c r="B486" s="3" t="s">
        <v>1764</v>
      </c>
      <c r="C486" s="4" t="s">
        <v>25</v>
      </c>
      <c r="D486" s="3" t="s">
        <v>1825</v>
      </c>
      <c r="E486" s="3" t="s">
        <v>1774</v>
      </c>
      <c r="F486" s="3" t="s">
        <v>28</v>
      </c>
      <c r="G486" s="5"/>
      <c r="H486" s="3" t="s">
        <v>1826</v>
      </c>
      <c r="I486" s="3" t="s">
        <v>1823</v>
      </c>
      <c r="J486" s="4" t="s">
        <v>1769</v>
      </c>
      <c r="K486" s="16" t="s">
        <v>1770</v>
      </c>
      <c r="L486" s="3"/>
      <c r="M486" s="4" t="s">
        <v>1771</v>
      </c>
    </row>
    <row r="487" customFormat="false" ht="15" hidden="false" customHeight="false" outlineLevel="0" collapsed="false">
      <c r="A487" s="7" t="s">
        <v>1827</v>
      </c>
      <c r="B487" s="7" t="s">
        <v>1764</v>
      </c>
      <c r="C487" s="8" t="s">
        <v>31</v>
      </c>
      <c r="D487" s="7" t="s">
        <v>1828</v>
      </c>
      <c r="E487" s="7" t="s">
        <v>1778</v>
      </c>
      <c r="F487" s="7" t="s">
        <v>34</v>
      </c>
      <c r="G487" s="9"/>
      <c r="H487" s="7" t="s">
        <v>1829</v>
      </c>
      <c r="I487" s="7" t="s">
        <v>1823</v>
      </c>
      <c r="J487" s="8" t="s">
        <v>1769</v>
      </c>
      <c r="K487" s="16" t="s">
        <v>1770</v>
      </c>
      <c r="L487" s="7"/>
      <c r="M487" s="8" t="s">
        <v>1771</v>
      </c>
    </row>
    <row r="488" customFormat="false" ht="15" hidden="false" customHeight="false" outlineLevel="0" collapsed="false">
      <c r="A488" s="3" t="s">
        <v>1830</v>
      </c>
      <c r="B488" s="3" t="s">
        <v>1764</v>
      </c>
      <c r="C488" s="4" t="s">
        <v>15</v>
      </c>
      <c r="D488" s="3" t="s">
        <v>1831</v>
      </c>
      <c r="E488" s="3" t="s">
        <v>1766</v>
      </c>
      <c r="F488" s="3" t="s">
        <v>18</v>
      </c>
      <c r="G488" s="5"/>
      <c r="H488" s="3" t="s">
        <v>1832</v>
      </c>
      <c r="I488" s="3" t="s">
        <v>1833</v>
      </c>
      <c r="J488" s="4" t="s">
        <v>1769</v>
      </c>
      <c r="K488" s="16" t="s">
        <v>1770</v>
      </c>
      <c r="L488" s="3"/>
      <c r="M488" s="4" t="s">
        <v>1771</v>
      </c>
    </row>
    <row r="489" customFormat="false" ht="15" hidden="false" customHeight="false" outlineLevel="0" collapsed="false">
      <c r="A489" s="7" t="s">
        <v>1834</v>
      </c>
      <c r="B489" s="7" t="s">
        <v>1764</v>
      </c>
      <c r="C489" s="8" t="s">
        <v>25</v>
      </c>
      <c r="D489" s="7" t="s">
        <v>1835</v>
      </c>
      <c r="E489" s="7" t="s">
        <v>1774</v>
      </c>
      <c r="F489" s="7" t="s">
        <v>28</v>
      </c>
      <c r="G489" s="9"/>
      <c r="H489" s="7" t="s">
        <v>1836</v>
      </c>
      <c r="I489" s="7" t="s">
        <v>1833</v>
      </c>
      <c r="J489" s="8" t="s">
        <v>1769</v>
      </c>
      <c r="K489" s="16" t="s">
        <v>1770</v>
      </c>
      <c r="L489" s="7"/>
      <c r="M489" s="8" t="s">
        <v>1771</v>
      </c>
    </row>
    <row r="490" customFormat="false" ht="15" hidden="false" customHeight="false" outlineLevel="0" collapsed="false">
      <c r="A490" s="3" t="s">
        <v>1837</v>
      </c>
      <c r="B490" s="3" t="s">
        <v>1764</v>
      </c>
      <c r="C490" s="4" t="s">
        <v>31</v>
      </c>
      <c r="D490" s="3" t="s">
        <v>1838</v>
      </c>
      <c r="E490" s="3" t="s">
        <v>1778</v>
      </c>
      <c r="F490" s="3" t="s">
        <v>34</v>
      </c>
      <c r="G490" s="5"/>
      <c r="H490" s="3" t="s">
        <v>1839</v>
      </c>
      <c r="I490" s="3" t="s">
        <v>1833</v>
      </c>
      <c r="J490" s="4" t="s">
        <v>1769</v>
      </c>
      <c r="K490" s="16" t="s">
        <v>1770</v>
      </c>
      <c r="L490" s="3"/>
      <c r="M490" s="4" t="s">
        <v>1771</v>
      </c>
    </row>
    <row r="491" customFormat="false" ht="15" hidden="false" customHeight="false" outlineLevel="0" collapsed="false">
      <c r="A491" s="7" t="s">
        <v>1840</v>
      </c>
      <c r="B491" s="7" t="s">
        <v>1764</v>
      </c>
      <c r="C491" s="8" t="s">
        <v>15</v>
      </c>
      <c r="D491" s="7" t="s">
        <v>1841</v>
      </c>
      <c r="E491" s="7" t="s">
        <v>1766</v>
      </c>
      <c r="F491" s="7" t="s">
        <v>18</v>
      </c>
      <c r="G491" s="9"/>
      <c r="H491" s="7" t="s">
        <v>1842</v>
      </c>
      <c r="I491" s="7" t="s">
        <v>1843</v>
      </c>
      <c r="J491" s="8" t="s">
        <v>1769</v>
      </c>
      <c r="K491" s="16" t="s">
        <v>1770</v>
      </c>
      <c r="L491" s="7"/>
      <c r="M491" s="8" t="s">
        <v>1771</v>
      </c>
    </row>
    <row r="492" customFormat="false" ht="15" hidden="false" customHeight="false" outlineLevel="0" collapsed="false">
      <c r="A492" s="3" t="s">
        <v>1844</v>
      </c>
      <c r="B492" s="3" t="s">
        <v>1764</v>
      </c>
      <c r="C492" s="4" t="s">
        <v>25</v>
      </c>
      <c r="D492" s="3" t="s">
        <v>1845</v>
      </c>
      <c r="E492" s="3" t="s">
        <v>1774</v>
      </c>
      <c r="F492" s="3" t="s">
        <v>28</v>
      </c>
      <c r="G492" s="5"/>
      <c r="H492" s="3" t="s">
        <v>1846</v>
      </c>
      <c r="I492" s="3" t="s">
        <v>1843</v>
      </c>
      <c r="J492" s="4" t="s">
        <v>1769</v>
      </c>
      <c r="K492" s="16" t="s">
        <v>1770</v>
      </c>
      <c r="L492" s="3"/>
      <c r="M492" s="4" t="s">
        <v>1771</v>
      </c>
    </row>
    <row r="493" customFormat="false" ht="15" hidden="false" customHeight="false" outlineLevel="0" collapsed="false">
      <c r="A493" s="7" t="s">
        <v>1847</v>
      </c>
      <c r="B493" s="7" t="s">
        <v>1764</v>
      </c>
      <c r="C493" s="8" t="s">
        <v>31</v>
      </c>
      <c r="D493" s="7" t="s">
        <v>1848</v>
      </c>
      <c r="E493" s="7" t="s">
        <v>1778</v>
      </c>
      <c r="F493" s="7" t="s">
        <v>34</v>
      </c>
      <c r="G493" s="9"/>
      <c r="H493" s="7" t="s">
        <v>1849</v>
      </c>
      <c r="I493" s="7" t="s">
        <v>1843</v>
      </c>
      <c r="J493" s="8" t="s">
        <v>1769</v>
      </c>
      <c r="K493" s="16" t="s">
        <v>1770</v>
      </c>
      <c r="L493" s="7"/>
      <c r="M493" s="8" t="s">
        <v>1771</v>
      </c>
    </row>
    <row r="494" customFormat="false" ht="15" hidden="false" customHeight="false" outlineLevel="0" collapsed="false">
      <c r="A494" s="3" t="s">
        <v>1850</v>
      </c>
      <c r="B494" s="3" t="s">
        <v>1764</v>
      </c>
      <c r="C494" s="4" t="s">
        <v>15</v>
      </c>
      <c r="D494" s="3" t="s">
        <v>1851</v>
      </c>
      <c r="E494" s="3" t="s">
        <v>1766</v>
      </c>
      <c r="F494" s="3" t="s">
        <v>18</v>
      </c>
      <c r="G494" s="11" t="n">
        <v>2026</v>
      </c>
      <c r="H494" s="3" t="s">
        <v>1852</v>
      </c>
      <c r="I494" s="3" t="s">
        <v>1853</v>
      </c>
      <c r="J494" s="4" t="s">
        <v>1769</v>
      </c>
      <c r="K494" s="16" t="s">
        <v>1770</v>
      </c>
      <c r="L494" s="3"/>
      <c r="M494" s="4" t="s">
        <v>1771</v>
      </c>
    </row>
    <row r="495" customFormat="false" ht="15" hidden="false" customHeight="false" outlineLevel="0" collapsed="false">
      <c r="A495" s="7" t="s">
        <v>1854</v>
      </c>
      <c r="B495" s="7" t="s">
        <v>1764</v>
      </c>
      <c r="C495" s="8" t="s">
        <v>25</v>
      </c>
      <c r="D495" s="7" t="s">
        <v>1855</v>
      </c>
      <c r="E495" s="7" t="s">
        <v>1774</v>
      </c>
      <c r="F495" s="7" t="s">
        <v>28</v>
      </c>
      <c r="G495" s="10" t="n">
        <v>2026</v>
      </c>
      <c r="H495" s="7" t="s">
        <v>1856</v>
      </c>
      <c r="I495" s="7" t="s">
        <v>1853</v>
      </c>
      <c r="J495" s="8" t="s">
        <v>1769</v>
      </c>
      <c r="K495" s="16" t="s">
        <v>1770</v>
      </c>
      <c r="L495" s="7"/>
      <c r="M495" s="8" t="s">
        <v>1771</v>
      </c>
    </row>
    <row r="496" customFormat="false" ht="15" hidden="false" customHeight="false" outlineLevel="0" collapsed="false">
      <c r="A496" s="3" t="s">
        <v>1857</v>
      </c>
      <c r="B496" s="3" t="s">
        <v>1764</v>
      </c>
      <c r="C496" s="4" t="s">
        <v>31</v>
      </c>
      <c r="D496" s="3" t="s">
        <v>1858</v>
      </c>
      <c r="E496" s="3" t="s">
        <v>1778</v>
      </c>
      <c r="F496" s="3" t="s">
        <v>34</v>
      </c>
      <c r="G496" s="11" t="n">
        <v>2026</v>
      </c>
      <c r="H496" s="3" t="s">
        <v>1859</v>
      </c>
      <c r="I496" s="3" t="s">
        <v>1853</v>
      </c>
      <c r="J496" s="4" t="s">
        <v>1769</v>
      </c>
      <c r="K496" s="16" t="s">
        <v>1770</v>
      </c>
      <c r="L496" s="3"/>
      <c r="M496" s="4" t="s">
        <v>1771</v>
      </c>
    </row>
    <row r="497" customFormat="false" ht="15" hidden="false" customHeight="false" outlineLevel="0" collapsed="false">
      <c r="A497" s="7" t="s">
        <v>1860</v>
      </c>
      <c r="B497" s="7" t="s">
        <v>1764</v>
      </c>
      <c r="C497" s="8" t="s">
        <v>15</v>
      </c>
      <c r="D497" s="7" t="s">
        <v>1861</v>
      </c>
      <c r="E497" s="7" t="s">
        <v>1766</v>
      </c>
      <c r="F497" s="7" t="s">
        <v>18</v>
      </c>
      <c r="G497" s="9"/>
      <c r="H497" s="7" t="s">
        <v>1862</v>
      </c>
      <c r="I497" s="7" t="s">
        <v>1863</v>
      </c>
      <c r="J497" s="8" t="s">
        <v>1769</v>
      </c>
      <c r="K497" s="16" t="s">
        <v>1770</v>
      </c>
      <c r="L497" s="7"/>
      <c r="M497" s="8" t="s">
        <v>1771</v>
      </c>
    </row>
    <row r="498" customFormat="false" ht="15" hidden="false" customHeight="false" outlineLevel="0" collapsed="false">
      <c r="A498" s="3" t="s">
        <v>1864</v>
      </c>
      <c r="B498" s="3" t="s">
        <v>1764</v>
      </c>
      <c r="C498" s="4" t="s">
        <v>25</v>
      </c>
      <c r="D498" s="3" t="s">
        <v>1865</v>
      </c>
      <c r="E498" s="3" t="s">
        <v>1774</v>
      </c>
      <c r="F498" s="3" t="s">
        <v>28</v>
      </c>
      <c r="G498" s="5"/>
      <c r="H498" s="3" t="s">
        <v>1866</v>
      </c>
      <c r="I498" s="3" t="s">
        <v>1863</v>
      </c>
      <c r="J498" s="4" t="s">
        <v>1769</v>
      </c>
      <c r="K498" s="16" t="s">
        <v>1770</v>
      </c>
      <c r="L498" s="3"/>
      <c r="M498" s="4" t="s">
        <v>1771</v>
      </c>
    </row>
    <row r="499" customFormat="false" ht="15" hidden="false" customHeight="false" outlineLevel="0" collapsed="false">
      <c r="A499" s="7" t="s">
        <v>1867</v>
      </c>
      <c r="B499" s="7" t="s">
        <v>1764</v>
      </c>
      <c r="C499" s="8" t="s">
        <v>31</v>
      </c>
      <c r="D499" s="7" t="s">
        <v>1868</v>
      </c>
      <c r="E499" s="7" t="s">
        <v>1778</v>
      </c>
      <c r="F499" s="7" t="s">
        <v>34</v>
      </c>
      <c r="G499" s="9"/>
      <c r="H499" s="7" t="s">
        <v>1869</v>
      </c>
      <c r="I499" s="7" t="s">
        <v>1863</v>
      </c>
      <c r="J499" s="8" t="s">
        <v>1769</v>
      </c>
      <c r="K499" s="16" t="s">
        <v>1770</v>
      </c>
      <c r="L499" s="7"/>
      <c r="M499" s="8" t="s">
        <v>1771</v>
      </c>
    </row>
    <row r="500" customFormat="false" ht="15" hidden="false" customHeight="false" outlineLevel="0" collapsed="false">
      <c r="A500" s="3" t="s">
        <v>1870</v>
      </c>
      <c r="B500" s="3" t="s">
        <v>620</v>
      </c>
      <c r="C500" s="4" t="s">
        <v>15</v>
      </c>
      <c r="D500" s="3" t="s">
        <v>1871</v>
      </c>
      <c r="E500" s="3" t="s">
        <v>1872</v>
      </c>
      <c r="F500" s="3" t="s">
        <v>681</v>
      </c>
      <c r="G500" s="11" t="n">
        <v>2026</v>
      </c>
      <c r="H500" s="3" t="s">
        <v>1873</v>
      </c>
      <c r="I500" s="3" t="s">
        <v>1874</v>
      </c>
      <c r="J500" s="4" t="s">
        <v>1875</v>
      </c>
      <c r="K500" s="6" t="s">
        <v>22</v>
      </c>
      <c r="L500" s="3"/>
      <c r="M500" s="4" t="s">
        <v>1771</v>
      </c>
    </row>
    <row r="501" customFormat="false" ht="15" hidden="false" customHeight="false" outlineLevel="0" collapsed="false">
      <c r="A501" s="7" t="s">
        <v>1876</v>
      </c>
      <c r="B501" s="7" t="s">
        <v>620</v>
      </c>
      <c r="C501" s="8" t="s">
        <v>25</v>
      </c>
      <c r="D501" s="7" t="s">
        <v>1877</v>
      </c>
      <c r="E501" s="7" t="s">
        <v>1878</v>
      </c>
      <c r="F501" s="7" t="s">
        <v>687</v>
      </c>
      <c r="G501" s="10" t="n">
        <v>2026</v>
      </c>
      <c r="H501" s="7" t="s">
        <v>1879</v>
      </c>
      <c r="I501" s="7" t="s">
        <v>1874</v>
      </c>
      <c r="J501" s="8" t="s">
        <v>1875</v>
      </c>
      <c r="K501" s="6" t="s">
        <v>22</v>
      </c>
      <c r="L501" s="7"/>
      <c r="M501" s="8" t="s">
        <v>1771</v>
      </c>
    </row>
    <row r="502" customFormat="false" ht="15" hidden="false" customHeight="false" outlineLevel="0" collapsed="false">
      <c r="A502" s="3" t="s">
        <v>1880</v>
      </c>
      <c r="B502" s="3" t="s">
        <v>620</v>
      </c>
      <c r="C502" s="4" t="s">
        <v>31</v>
      </c>
      <c r="D502" s="3" t="s">
        <v>1881</v>
      </c>
      <c r="E502" s="3" t="s">
        <v>1882</v>
      </c>
      <c r="F502" s="3" t="s">
        <v>692</v>
      </c>
      <c r="G502" s="11" t="n">
        <v>2026</v>
      </c>
      <c r="H502" s="3" t="s">
        <v>1883</v>
      </c>
      <c r="I502" s="3" t="s">
        <v>1874</v>
      </c>
      <c r="J502" s="4" t="s">
        <v>1875</v>
      </c>
      <c r="K502" s="6" t="s">
        <v>22</v>
      </c>
      <c r="L502" s="3"/>
      <c r="M502" s="4" t="s">
        <v>1771</v>
      </c>
    </row>
    <row r="503" customFormat="false" ht="15" hidden="false" customHeight="false" outlineLevel="0" collapsed="false">
      <c r="A503" s="7" t="s">
        <v>1884</v>
      </c>
      <c r="B503" s="7" t="s">
        <v>620</v>
      </c>
      <c r="C503" s="8" t="s">
        <v>15</v>
      </c>
      <c r="D503" s="7" t="s">
        <v>1885</v>
      </c>
      <c r="E503" s="7" t="s">
        <v>1886</v>
      </c>
      <c r="F503" s="7" t="s">
        <v>681</v>
      </c>
      <c r="G503" s="10" t="n">
        <v>2026</v>
      </c>
      <c r="H503" s="7" t="s">
        <v>1887</v>
      </c>
      <c r="I503" s="7" t="s">
        <v>1888</v>
      </c>
      <c r="J503" s="8" t="s">
        <v>1875</v>
      </c>
      <c r="K503" s="6" t="s">
        <v>22</v>
      </c>
      <c r="L503" s="7"/>
      <c r="M503" s="8" t="s">
        <v>1771</v>
      </c>
    </row>
    <row r="504" customFormat="false" ht="15" hidden="false" customHeight="false" outlineLevel="0" collapsed="false">
      <c r="A504" s="3" t="s">
        <v>1889</v>
      </c>
      <c r="B504" s="3" t="s">
        <v>620</v>
      </c>
      <c r="C504" s="4" t="s">
        <v>25</v>
      </c>
      <c r="D504" s="3" t="s">
        <v>1890</v>
      </c>
      <c r="E504" s="3" t="s">
        <v>1891</v>
      </c>
      <c r="F504" s="3" t="s">
        <v>687</v>
      </c>
      <c r="G504" s="11" t="n">
        <v>2026</v>
      </c>
      <c r="H504" s="3" t="s">
        <v>1892</v>
      </c>
      <c r="I504" s="3" t="s">
        <v>1888</v>
      </c>
      <c r="J504" s="4" t="s">
        <v>1875</v>
      </c>
      <c r="K504" s="6" t="s">
        <v>22</v>
      </c>
      <c r="L504" s="3"/>
      <c r="M504" s="4" t="s">
        <v>1771</v>
      </c>
    </row>
    <row r="505" customFormat="false" ht="15" hidden="false" customHeight="false" outlineLevel="0" collapsed="false">
      <c r="A505" s="7" t="s">
        <v>1893</v>
      </c>
      <c r="B505" s="7" t="s">
        <v>620</v>
      </c>
      <c r="C505" s="8" t="s">
        <v>31</v>
      </c>
      <c r="D505" s="7" t="s">
        <v>1894</v>
      </c>
      <c r="E505" s="7" t="s">
        <v>1895</v>
      </c>
      <c r="F505" s="7" t="s">
        <v>692</v>
      </c>
      <c r="G505" s="10" t="n">
        <v>2026</v>
      </c>
      <c r="H505" s="7" t="s">
        <v>1896</v>
      </c>
      <c r="I505" s="7" t="s">
        <v>1888</v>
      </c>
      <c r="J505" s="8" t="s">
        <v>1875</v>
      </c>
      <c r="K505" s="6" t="s">
        <v>22</v>
      </c>
      <c r="L505" s="7"/>
      <c r="M505" s="8" t="s">
        <v>1771</v>
      </c>
    </row>
    <row r="506" customFormat="false" ht="15" hidden="false" customHeight="false" outlineLevel="0" collapsed="false">
      <c r="A506" s="3" t="s">
        <v>1897</v>
      </c>
      <c r="B506" s="3" t="s">
        <v>448</v>
      </c>
      <c r="C506" s="4" t="s">
        <v>15</v>
      </c>
      <c r="D506" s="3" t="s">
        <v>1898</v>
      </c>
      <c r="E506" s="3" t="s">
        <v>1899</v>
      </c>
      <c r="F506" s="3" t="s">
        <v>18</v>
      </c>
      <c r="G506" s="11" t="n">
        <v>2026</v>
      </c>
      <c r="H506" s="3" t="s">
        <v>1900</v>
      </c>
      <c r="I506" s="3" t="s">
        <v>1901</v>
      </c>
      <c r="J506" s="4" t="s">
        <v>1875</v>
      </c>
      <c r="K506" s="6" t="s">
        <v>22</v>
      </c>
      <c r="L506" s="3"/>
      <c r="M506" s="4" t="s">
        <v>1771</v>
      </c>
    </row>
    <row r="507" customFormat="false" ht="15" hidden="false" customHeight="false" outlineLevel="0" collapsed="false">
      <c r="A507" s="7" t="s">
        <v>1902</v>
      </c>
      <c r="B507" s="7" t="s">
        <v>448</v>
      </c>
      <c r="C507" s="8" t="s">
        <v>25</v>
      </c>
      <c r="D507" s="7" t="s">
        <v>1903</v>
      </c>
      <c r="E507" s="7" t="s">
        <v>1904</v>
      </c>
      <c r="F507" s="7" t="s">
        <v>28</v>
      </c>
      <c r="G507" s="10" t="n">
        <v>2026</v>
      </c>
      <c r="H507" s="7" t="s">
        <v>1905</v>
      </c>
      <c r="I507" s="7" t="s">
        <v>1901</v>
      </c>
      <c r="J507" s="8" t="s">
        <v>1875</v>
      </c>
      <c r="K507" s="6" t="s">
        <v>22</v>
      </c>
      <c r="L507" s="7"/>
      <c r="M507" s="8" t="s">
        <v>1771</v>
      </c>
    </row>
    <row r="508" customFormat="false" ht="15" hidden="false" customHeight="false" outlineLevel="0" collapsed="false">
      <c r="A508" s="3" t="s">
        <v>1906</v>
      </c>
      <c r="B508" s="3" t="s">
        <v>448</v>
      </c>
      <c r="C508" s="4" t="s">
        <v>31</v>
      </c>
      <c r="D508" s="3" t="s">
        <v>1907</v>
      </c>
      <c r="E508" s="3" t="s">
        <v>1908</v>
      </c>
      <c r="F508" s="3" t="s">
        <v>34</v>
      </c>
      <c r="G508" s="11" t="n">
        <v>2026</v>
      </c>
      <c r="H508" s="3" t="s">
        <v>1909</v>
      </c>
      <c r="I508" s="3" t="s">
        <v>1901</v>
      </c>
      <c r="J508" s="4" t="s">
        <v>1875</v>
      </c>
      <c r="K508" s="6" t="s">
        <v>22</v>
      </c>
      <c r="L508" s="3"/>
      <c r="M508" s="4" t="s">
        <v>1771</v>
      </c>
    </row>
    <row r="509" customFormat="false" ht="15" hidden="false" customHeight="false" outlineLevel="0" collapsed="false">
      <c r="A509" s="7" t="s">
        <v>1910</v>
      </c>
      <c r="B509" s="7" t="s">
        <v>448</v>
      </c>
      <c r="C509" s="8" t="s">
        <v>15</v>
      </c>
      <c r="D509" s="7" t="s">
        <v>1911</v>
      </c>
      <c r="E509" s="7" t="s">
        <v>1912</v>
      </c>
      <c r="F509" s="7" t="s">
        <v>18</v>
      </c>
      <c r="G509" s="10" t="n">
        <v>2026</v>
      </c>
      <c r="H509" s="7" t="s">
        <v>1913</v>
      </c>
      <c r="I509" s="7" t="s">
        <v>1914</v>
      </c>
      <c r="J509" s="8" t="s">
        <v>1875</v>
      </c>
      <c r="K509" s="6" t="s">
        <v>22</v>
      </c>
      <c r="L509" s="7"/>
      <c r="M509" s="8" t="s">
        <v>1771</v>
      </c>
    </row>
    <row r="510" customFormat="false" ht="15" hidden="false" customHeight="false" outlineLevel="0" collapsed="false">
      <c r="A510" s="3" t="s">
        <v>1915</v>
      </c>
      <c r="B510" s="3" t="s">
        <v>448</v>
      </c>
      <c r="C510" s="4" t="s">
        <v>25</v>
      </c>
      <c r="D510" s="3" t="s">
        <v>1916</v>
      </c>
      <c r="E510" s="3" t="s">
        <v>1917</v>
      </c>
      <c r="F510" s="3" t="s">
        <v>28</v>
      </c>
      <c r="G510" s="11" t="n">
        <v>2026</v>
      </c>
      <c r="H510" s="3" t="s">
        <v>1918</v>
      </c>
      <c r="I510" s="3" t="s">
        <v>1914</v>
      </c>
      <c r="J510" s="4" t="s">
        <v>1875</v>
      </c>
      <c r="K510" s="6" t="s">
        <v>22</v>
      </c>
      <c r="L510" s="3"/>
      <c r="M510" s="4" t="s">
        <v>1771</v>
      </c>
    </row>
    <row r="511" customFormat="false" ht="15" hidden="false" customHeight="false" outlineLevel="0" collapsed="false">
      <c r="A511" s="7" t="s">
        <v>1919</v>
      </c>
      <c r="B511" s="7" t="s">
        <v>448</v>
      </c>
      <c r="C511" s="8" t="s">
        <v>31</v>
      </c>
      <c r="D511" s="7" t="s">
        <v>1920</v>
      </c>
      <c r="E511" s="7" t="s">
        <v>1921</v>
      </c>
      <c r="F511" s="7" t="s">
        <v>34</v>
      </c>
      <c r="G511" s="10" t="n">
        <v>2026</v>
      </c>
      <c r="H511" s="7" t="s">
        <v>1922</v>
      </c>
      <c r="I511" s="7" t="s">
        <v>1914</v>
      </c>
      <c r="J511" s="8" t="s">
        <v>1875</v>
      </c>
      <c r="K511" s="6" t="s">
        <v>22</v>
      </c>
      <c r="L511" s="7"/>
      <c r="M511" s="8" t="s">
        <v>1771</v>
      </c>
    </row>
    <row r="512" customFormat="false" ht="15" hidden="false" customHeight="false" outlineLevel="0" collapsed="false">
      <c r="A512" s="3" t="s">
        <v>1923</v>
      </c>
      <c r="B512" s="3" t="s">
        <v>91</v>
      </c>
      <c r="C512" s="4" t="s">
        <v>15</v>
      </c>
      <c r="D512" s="3" t="s">
        <v>1924</v>
      </c>
      <c r="E512" s="3" t="s">
        <v>1925</v>
      </c>
      <c r="F512" s="3" t="s">
        <v>18</v>
      </c>
      <c r="G512" s="5"/>
      <c r="H512" s="3" t="s">
        <v>1926</v>
      </c>
      <c r="I512" s="3" t="s">
        <v>1927</v>
      </c>
      <c r="J512" s="4" t="s">
        <v>1875</v>
      </c>
      <c r="K512" s="6" t="s">
        <v>22</v>
      </c>
      <c r="L512" s="3"/>
      <c r="M512" s="4" t="s">
        <v>1771</v>
      </c>
    </row>
    <row r="513" customFormat="false" ht="15" hidden="false" customHeight="false" outlineLevel="0" collapsed="false">
      <c r="A513" s="7" t="s">
        <v>1928</v>
      </c>
      <c r="B513" s="7" t="s">
        <v>91</v>
      </c>
      <c r="C513" s="8" t="s">
        <v>25</v>
      </c>
      <c r="D513" s="7" t="s">
        <v>1929</v>
      </c>
      <c r="E513" s="7" t="s">
        <v>1930</v>
      </c>
      <c r="F513" s="7" t="s">
        <v>28</v>
      </c>
      <c r="G513" s="9"/>
      <c r="H513" s="7" t="s">
        <v>1931</v>
      </c>
      <c r="I513" s="7" t="s">
        <v>1927</v>
      </c>
      <c r="J513" s="8" t="s">
        <v>1875</v>
      </c>
      <c r="K513" s="6" t="s">
        <v>22</v>
      </c>
      <c r="L513" s="7"/>
      <c r="M513" s="8" t="s">
        <v>1771</v>
      </c>
    </row>
    <row r="514" customFormat="false" ht="15" hidden="false" customHeight="false" outlineLevel="0" collapsed="false">
      <c r="A514" s="3" t="s">
        <v>1932</v>
      </c>
      <c r="B514" s="3" t="s">
        <v>91</v>
      </c>
      <c r="C514" s="4" t="s">
        <v>31</v>
      </c>
      <c r="D514" s="3" t="s">
        <v>1933</v>
      </c>
      <c r="E514" s="3" t="s">
        <v>1934</v>
      </c>
      <c r="F514" s="3" t="s">
        <v>34</v>
      </c>
      <c r="G514" s="5"/>
      <c r="H514" s="3" t="s">
        <v>1935</v>
      </c>
      <c r="I514" s="3" t="s">
        <v>1927</v>
      </c>
      <c r="J514" s="4" t="s">
        <v>1875</v>
      </c>
      <c r="K514" s="6" t="s">
        <v>22</v>
      </c>
      <c r="L514" s="3"/>
      <c r="M514" s="4" t="s">
        <v>1771</v>
      </c>
    </row>
    <row r="515" customFormat="false" ht="15" hidden="false" customHeight="false" outlineLevel="0" collapsed="false">
      <c r="A515" s="7" t="s">
        <v>1936</v>
      </c>
      <c r="B515" s="7" t="s">
        <v>448</v>
      </c>
      <c r="C515" s="8" t="s">
        <v>15</v>
      </c>
      <c r="D515" s="7" t="s">
        <v>1937</v>
      </c>
      <c r="E515" s="7" t="s">
        <v>1938</v>
      </c>
      <c r="F515" s="7" t="s">
        <v>18</v>
      </c>
      <c r="G515" s="10" t="n">
        <v>2026</v>
      </c>
      <c r="H515" s="7" t="s">
        <v>1939</v>
      </c>
      <c r="I515" s="7" t="s">
        <v>1940</v>
      </c>
      <c r="J515" s="8" t="s">
        <v>1875</v>
      </c>
      <c r="K515" s="6" t="s">
        <v>22</v>
      </c>
      <c r="L515" s="7"/>
      <c r="M515" s="8" t="s">
        <v>1771</v>
      </c>
    </row>
    <row r="516" customFormat="false" ht="15" hidden="false" customHeight="false" outlineLevel="0" collapsed="false">
      <c r="A516" s="3" t="s">
        <v>1941</v>
      </c>
      <c r="B516" s="3" t="s">
        <v>448</v>
      </c>
      <c r="C516" s="4" t="s">
        <v>25</v>
      </c>
      <c r="D516" s="3" t="s">
        <v>1942</v>
      </c>
      <c r="E516" s="3" t="s">
        <v>1943</v>
      </c>
      <c r="F516" s="3" t="s">
        <v>28</v>
      </c>
      <c r="G516" s="11" t="n">
        <v>2026</v>
      </c>
      <c r="H516" s="3" t="s">
        <v>1944</v>
      </c>
      <c r="I516" s="3" t="s">
        <v>1940</v>
      </c>
      <c r="J516" s="4" t="s">
        <v>1875</v>
      </c>
      <c r="K516" s="6" t="s">
        <v>22</v>
      </c>
      <c r="L516" s="3"/>
      <c r="M516" s="4" t="s">
        <v>1771</v>
      </c>
    </row>
    <row r="517" customFormat="false" ht="15" hidden="false" customHeight="false" outlineLevel="0" collapsed="false">
      <c r="A517" s="7" t="s">
        <v>1945</v>
      </c>
      <c r="B517" s="7" t="s">
        <v>448</v>
      </c>
      <c r="C517" s="8" t="s">
        <v>31</v>
      </c>
      <c r="D517" s="7" t="s">
        <v>1946</v>
      </c>
      <c r="E517" s="7" t="s">
        <v>1947</v>
      </c>
      <c r="F517" s="7" t="s">
        <v>34</v>
      </c>
      <c r="G517" s="10" t="n">
        <v>2026</v>
      </c>
      <c r="H517" s="7" t="s">
        <v>1948</v>
      </c>
      <c r="I517" s="7" t="s">
        <v>1940</v>
      </c>
      <c r="J517" s="8" t="s">
        <v>1875</v>
      </c>
      <c r="K517" s="6" t="s">
        <v>22</v>
      </c>
      <c r="L517" s="7"/>
      <c r="M517" s="8" t="s">
        <v>1771</v>
      </c>
    </row>
    <row r="518" customFormat="false" ht="15" hidden="false" customHeight="false" outlineLevel="0" collapsed="false">
      <c r="A518" s="3" t="s">
        <v>1949</v>
      </c>
      <c r="B518" s="3" t="s">
        <v>1060</v>
      </c>
      <c r="C518" s="4" t="s">
        <v>15</v>
      </c>
      <c r="D518" s="3" t="s">
        <v>1950</v>
      </c>
      <c r="E518" s="3" t="s">
        <v>1951</v>
      </c>
      <c r="F518" s="3" t="s">
        <v>1063</v>
      </c>
      <c r="G518" s="5"/>
      <c r="H518" s="3" t="s">
        <v>1952</v>
      </c>
      <c r="I518" s="3" t="s">
        <v>1953</v>
      </c>
      <c r="J518" s="4" t="s">
        <v>1875</v>
      </c>
      <c r="K518" s="6" t="s">
        <v>22</v>
      </c>
      <c r="L518" s="3"/>
      <c r="M518" s="4" t="s">
        <v>1771</v>
      </c>
    </row>
    <row r="519" customFormat="false" ht="15" hidden="false" customHeight="false" outlineLevel="0" collapsed="false">
      <c r="A519" s="7" t="s">
        <v>1954</v>
      </c>
      <c r="B519" s="7" t="s">
        <v>1060</v>
      </c>
      <c r="C519" s="8" t="s">
        <v>25</v>
      </c>
      <c r="D519" s="7" t="s">
        <v>1955</v>
      </c>
      <c r="E519" s="7" t="s">
        <v>1956</v>
      </c>
      <c r="F519" s="7" t="s">
        <v>1068</v>
      </c>
      <c r="G519" s="9"/>
      <c r="H519" s="7" t="s">
        <v>1957</v>
      </c>
      <c r="I519" s="7" t="s">
        <v>1953</v>
      </c>
      <c r="J519" s="8" t="s">
        <v>1875</v>
      </c>
      <c r="K519" s="6" t="s">
        <v>22</v>
      </c>
      <c r="L519" s="7"/>
      <c r="M519" s="8" t="s">
        <v>1771</v>
      </c>
    </row>
    <row r="520" customFormat="false" ht="15" hidden="false" customHeight="false" outlineLevel="0" collapsed="false">
      <c r="A520" s="3" t="s">
        <v>1958</v>
      </c>
      <c r="B520" s="3" t="s">
        <v>1060</v>
      </c>
      <c r="C520" s="4" t="s">
        <v>31</v>
      </c>
      <c r="D520" s="3" t="s">
        <v>1959</v>
      </c>
      <c r="E520" s="3" t="s">
        <v>1960</v>
      </c>
      <c r="F520" s="3" t="s">
        <v>1072</v>
      </c>
      <c r="G520" s="5"/>
      <c r="H520" s="3" t="s">
        <v>1961</v>
      </c>
      <c r="I520" s="3" t="s">
        <v>1953</v>
      </c>
      <c r="J520" s="4" t="s">
        <v>1875</v>
      </c>
      <c r="K520" s="6" t="s">
        <v>22</v>
      </c>
      <c r="L520" s="3"/>
      <c r="M520" s="4" t="s">
        <v>1771</v>
      </c>
    </row>
    <row r="521" customFormat="false" ht="15" hidden="false" customHeight="false" outlineLevel="0" collapsed="false">
      <c r="A521" s="7" t="s">
        <v>1962</v>
      </c>
      <c r="B521" s="7" t="s">
        <v>620</v>
      </c>
      <c r="C521" s="8" t="s">
        <v>15</v>
      </c>
      <c r="D521" s="7" t="s">
        <v>1963</v>
      </c>
      <c r="E521" s="7" t="s">
        <v>1964</v>
      </c>
      <c r="F521" s="7" t="s">
        <v>681</v>
      </c>
      <c r="G521" s="10" t="n">
        <v>2026</v>
      </c>
      <c r="H521" s="7" t="s">
        <v>1965</v>
      </c>
      <c r="I521" s="7" t="s">
        <v>1966</v>
      </c>
      <c r="J521" s="8" t="s">
        <v>1875</v>
      </c>
      <c r="K521" s="6" t="s">
        <v>22</v>
      </c>
      <c r="L521" s="7"/>
      <c r="M521" s="8" t="s">
        <v>1771</v>
      </c>
    </row>
    <row r="522" customFormat="false" ht="15" hidden="false" customHeight="false" outlineLevel="0" collapsed="false">
      <c r="A522" s="3" t="s">
        <v>1967</v>
      </c>
      <c r="B522" s="3" t="s">
        <v>620</v>
      </c>
      <c r="C522" s="4" t="s">
        <v>25</v>
      </c>
      <c r="D522" s="3" t="s">
        <v>1968</v>
      </c>
      <c r="E522" s="3" t="s">
        <v>1969</v>
      </c>
      <c r="F522" s="3" t="s">
        <v>687</v>
      </c>
      <c r="G522" s="11" t="n">
        <v>2026</v>
      </c>
      <c r="H522" s="3" t="s">
        <v>1970</v>
      </c>
      <c r="I522" s="3" t="s">
        <v>1966</v>
      </c>
      <c r="J522" s="4" t="s">
        <v>1875</v>
      </c>
      <c r="K522" s="6" t="s">
        <v>22</v>
      </c>
      <c r="L522" s="3"/>
      <c r="M522" s="4" t="s">
        <v>1771</v>
      </c>
    </row>
    <row r="523" customFormat="false" ht="15" hidden="false" customHeight="false" outlineLevel="0" collapsed="false">
      <c r="A523" s="7" t="s">
        <v>1971</v>
      </c>
      <c r="B523" s="7" t="s">
        <v>620</v>
      </c>
      <c r="C523" s="8" t="s">
        <v>31</v>
      </c>
      <c r="D523" s="7" t="s">
        <v>1972</v>
      </c>
      <c r="E523" s="7" t="s">
        <v>1973</v>
      </c>
      <c r="F523" s="7" t="s">
        <v>692</v>
      </c>
      <c r="G523" s="10" t="n">
        <v>2026</v>
      </c>
      <c r="H523" s="7" t="s">
        <v>1974</v>
      </c>
      <c r="I523" s="7" t="s">
        <v>1966</v>
      </c>
      <c r="J523" s="8" t="s">
        <v>1875</v>
      </c>
      <c r="K523" s="6" t="s">
        <v>22</v>
      </c>
      <c r="L523" s="7"/>
      <c r="M523" s="8" t="s">
        <v>1771</v>
      </c>
    </row>
    <row r="524" customFormat="false" ht="15" hidden="false" customHeight="false" outlineLevel="0" collapsed="false">
      <c r="A524" s="3" t="s">
        <v>1975</v>
      </c>
      <c r="B524" s="3" t="s">
        <v>864</v>
      </c>
      <c r="C524" s="4" t="s">
        <v>15</v>
      </c>
      <c r="D524" s="3" t="s">
        <v>1976</v>
      </c>
      <c r="E524" s="3" t="s">
        <v>1977</v>
      </c>
      <c r="F524" s="3" t="s">
        <v>18</v>
      </c>
      <c r="G524" s="5"/>
      <c r="H524" s="3" t="s">
        <v>1978</v>
      </c>
      <c r="I524" s="3" t="s">
        <v>1979</v>
      </c>
      <c r="J524" s="4" t="s">
        <v>1875</v>
      </c>
      <c r="K524" s="6" t="s">
        <v>22</v>
      </c>
      <c r="L524" s="3"/>
      <c r="M524" s="4" t="s">
        <v>1771</v>
      </c>
    </row>
    <row r="525" customFormat="false" ht="15" hidden="false" customHeight="false" outlineLevel="0" collapsed="false">
      <c r="A525" s="7" t="s">
        <v>1980</v>
      </c>
      <c r="B525" s="7" t="s">
        <v>864</v>
      </c>
      <c r="C525" s="8" t="s">
        <v>25</v>
      </c>
      <c r="D525" s="7" t="s">
        <v>1981</v>
      </c>
      <c r="E525" s="7" t="s">
        <v>1982</v>
      </c>
      <c r="F525" s="7" t="s">
        <v>28</v>
      </c>
      <c r="G525" s="9"/>
      <c r="H525" s="7" t="s">
        <v>1983</v>
      </c>
      <c r="I525" s="7" t="s">
        <v>1979</v>
      </c>
      <c r="J525" s="8" t="s">
        <v>1875</v>
      </c>
      <c r="K525" s="6" t="s">
        <v>22</v>
      </c>
      <c r="L525" s="7"/>
      <c r="M525" s="8" t="s">
        <v>1771</v>
      </c>
    </row>
    <row r="526" customFormat="false" ht="15" hidden="false" customHeight="false" outlineLevel="0" collapsed="false">
      <c r="A526" s="3" t="s">
        <v>1984</v>
      </c>
      <c r="B526" s="3" t="s">
        <v>864</v>
      </c>
      <c r="C526" s="4" t="s">
        <v>31</v>
      </c>
      <c r="D526" s="3" t="s">
        <v>1985</v>
      </c>
      <c r="E526" s="3" t="s">
        <v>1986</v>
      </c>
      <c r="F526" s="3" t="s">
        <v>34</v>
      </c>
      <c r="G526" s="5"/>
      <c r="H526" s="3" t="s">
        <v>1987</v>
      </c>
      <c r="I526" s="3" t="s">
        <v>1979</v>
      </c>
      <c r="J526" s="4" t="s">
        <v>1875</v>
      </c>
      <c r="K526" s="6" t="s">
        <v>22</v>
      </c>
      <c r="L526" s="3"/>
      <c r="M526" s="4" t="s">
        <v>1771</v>
      </c>
    </row>
    <row r="527" customFormat="false" ht="15" hidden="false" customHeight="false" outlineLevel="0" collapsed="false">
      <c r="A527" s="7" t="s">
        <v>1988</v>
      </c>
      <c r="B527" s="7" t="s">
        <v>448</v>
      </c>
      <c r="C527" s="8" t="s">
        <v>15</v>
      </c>
      <c r="D527" s="7" t="s">
        <v>1989</v>
      </c>
      <c r="E527" s="7" t="s">
        <v>1990</v>
      </c>
      <c r="F527" s="7" t="s">
        <v>1669</v>
      </c>
      <c r="G527" s="9"/>
      <c r="H527" s="7" t="s">
        <v>1991</v>
      </c>
      <c r="I527" s="7" t="s">
        <v>1992</v>
      </c>
      <c r="J527" s="8" t="s">
        <v>1875</v>
      </c>
      <c r="K527" s="6" t="s">
        <v>22</v>
      </c>
      <c r="L527" s="7"/>
      <c r="M527" s="8" t="s">
        <v>1771</v>
      </c>
    </row>
    <row r="528" customFormat="false" ht="15" hidden="false" customHeight="false" outlineLevel="0" collapsed="false">
      <c r="A528" s="3" t="s">
        <v>1993</v>
      </c>
      <c r="B528" s="3" t="s">
        <v>448</v>
      </c>
      <c r="C528" s="4" t="s">
        <v>25</v>
      </c>
      <c r="D528" s="3" t="s">
        <v>1994</v>
      </c>
      <c r="E528" s="3" t="s">
        <v>1995</v>
      </c>
      <c r="F528" s="3" t="s">
        <v>1675</v>
      </c>
      <c r="G528" s="5"/>
      <c r="H528" s="3" t="s">
        <v>1996</v>
      </c>
      <c r="I528" s="3" t="s">
        <v>1992</v>
      </c>
      <c r="J528" s="4" t="s">
        <v>1875</v>
      </c>
      <c r="K528" s="6" t="s">
        <v>22</v>
      </c>
      <c r="L528" s="3"/>
      <c r="M528" s="4" t="s">
        <v>1771</v>
      </c>
    </row>
    <row r="529" customFormat="false" ht="15" hidden="false" customHeight="false" outlineLevel="0" collapsed="false">
      <c r="A529" s="7" t="s">
        <v>1997</v>
      </c>
      <c r="B529" s="7" t="s">
        <v>448</v>
      </c>
      <c r="C529" s="8" t="s">
        <v>31</v>
      </c>
      <c r="D529" s="7" t="s">
        <v>1998</v>
      </c>
      <c r="E529" s="7" t="s">
        <v>1999</v>
      </c>
      <c r="F529" s="7" t="s">
        <v>1680</v>
      </c>
      <c r="G529" s="9"/>
      <c r="H529" s="7" t="s">
        <v>2000</v>
      </c>
      <c r="I529" s="7" t="s">
        <v>1992</v>
      </c>
      <c r="J529" s="8" t="s">
        <v>1875</v>
      </c>
      <c r="K529" s="6" t="s">
        <v>22</v>
      </c>
      <c r="L529" s="7"/>
      <c r="M529" s="8" t="s">
        <v>1771</v>
      </c>
    </row>
    <row r="530" customFormat="false" ht="15" hidden="false" customHeight="false" outlineLevel="0" collapsed="false">
      <c r="A530" s="3" t="s">
        <v>2001</v>
      </c>
      <c r="B530" s="3" t="s">
        <v>448</v>
      </c>
      <c r="C530" s="4" t="s">
        <v>15</v>
      </c>
      <c r="D530" s="3" t="s">
        <v>2002</v>
      </c>
      <c r="E530" s="3" t="s">
        <v>2003</v>
      </c>
      <c r="F530" s="3" t="s">
        <v>18</v>
      </c>
      <c r="G530" s="11" t="n">
        <v>2026</v>
      </c>
      <c r="H530" s="3" t="s">
        <v>2004</v>
      </c>
      <c r="I530" s="3" t="s">
        <v>2005</v>
      </c>
      <c r="J530" s="4" t="s">
        <v>1875</v>
      </c>
      <c r="K530" s="6" t="s">
        <v>22</v>
      </c>
      <c r="L530" s="3"/>
      <c r="M530" s="4" t="s">
        <v>1771</v>
      </c>
    </row>
    <row r="531" customFormat="false" ht="15" hidden="false" customHeight="false" outlineLevel="0" collapsed="false">
      <c r="A531" s="7" t="s">
        <v>2006</v>
      </c>
      <c r="B531" s="7" t="s">
        <v>448</v>
      </c>
      <c r="C531" s="8" t="s">
        <v>25</v>
      </c>
      <c r="D531" s="7" t="s">
        <v>2007</v>
      </c>
      <c r="E531" s="7" t="s">
        <v>2008</v>
      </c>
      <c r="F531" s="7" t="s">
        <v>28</v>
      </c>
      <c r="G531" s="10" t="n">
        <v>2026</v>
      </c>
      <c r="H531" s="7" t="s">
        <v>2009</v>
      </c>
      <c r="I531" s="7" t="s">
        <v>2005</v>
      </c>
      <c r="J531" s="8" t="s">
        <v>1875</v>
      </c>
      <c r="K531" s="6" t="s">
        <v>22</v>
      </c>
      <c r="L531" s="7"/>
      <c r="M531" s="8" t="s">
        <v>1771</v>
      </c>
    </row>
    <row r="532" customFormat="false" ht="15" hidden="false" customHeight="false" outlineLevel="0" collapsed="false">
      <c r="A532" s="3" t="s">
        <v>2010</v>
      </c>
      <c r="B532" s="3" t="s">
        <v>448</v>
      </c>
      <c r="C532" s="4" t="s">
        <v>31</v>
      </c>
      <c r="D532" s="3" t="s">
        <v>2011</v>
      </c>
      <c r="E532" s="3" t="s">
        <v>2012</v>
      </c>
      <c r="F532" s="3" t="s">
        <v>34</v>
      </c>
      <c r="G532" s="11" t="n">
        <v>2026</v>
      </c>
      <c r="H532" s="3" t="s">
        <v>2013</v>
      </c>
      <c r="I532" s="3" t="s">
        <v>2005</v>
      </c>
      <c r="J532" s="4" t="s">
        <v>1875</v>
      </c>
      <c r="K532" s="6" t="s">
        <v>22</v>
      </c>
      <c r="L532" s="3"/>
      <c r="M532" s="4" t="s">
        <v>1771</v>
      </c>
    </row>
    <row r="533" customFormat="false" ht="15" hidden="false" customHeight="false" outlineLevel="0" collapsed="false">
      <c r="A533" s="7" t="s">
        <v>2014</v>
      </c>
      <c r="B533" s="7" t="s">
        <v>448</v>
      </c>
      <c r="C533" s="8" t="s">
        <v>15</v>
      </c>
      <c r="D533" s="7" t="s">
        <v>2015</v>
      </c>
      <c r="E533" s="7" t="s">
        <v>2016</v>
      </c>
      <c r="F533" s="7" t="s">
        <v>18</v>
      </c>
      <c r="G533" s="10" t="n">
        <v>2026</v>
      </c>
      <c r="H533" s="7" t="s">
        <v>2017</v>
      </c>
      <c r="I533" s="7" t="s">
        <v>2018</v>
      </c>
      <c r="J533" s="8" t="s">
        <v>1875</v>
      </c>
      <c r="K533" s="6" t="s">
        <v>22</v>
      </c>
      <c r="L533" s="7"/>
      <c r="M533" s="8" t="s">
        <v>1771</v>
      </c>
    </row>
    <row r="534" customFormat="false" ht="15" hidden="false" customHeight="false" outlineLevel="0" collapsed="false">
      <c r="A534" s="3" t="s">
        <v>2019</v>
      </c>
      <c r="B534" s="3" t="s">
        <v>448</v>
      </c>
      <c r="C534" s="4" t="s">
        <v>25</v>
      </c>
      <c r="D534" s="3" t="s">
        <v>2020</v>
      </c>
      <c r="E534" s="3" t="s">
        <v>2021</v>
      </c>
      <c r="F534" s="3" t="s">
        <v>28</v>
      </c>
      <c r="G534" s="11" t="n">
        <v>2026</v>
      </c>
      <c r="H534" s="3" t="s">
        <v>2022</v>
      </c>
      <c r="I534" s="3" t="s">
        <v>2018</v>
      </c>
      <c r="J534" s="4" t="s">
        <v>1875</v>
      </c>
      <c r="K534" s="6" t="s">
        <v>22</v>
      </c>
      <c r="L534" s="3"/>
      <c r="M534" s="4" t="s">
        <v>1771</v>
      </c>
    </row>
    <row r="535" customFormat="false" ht="15" hidden="false" customHeight="false" outlineLevel="0" collapsed="false">
      <c r="A535" s="7" t="s">
        <v>2023</v>
      </c>
      <c r="B535" s="7" t="s">
        <v>448</v>
      </c>
      <c r="C535" s="8" t="s">
        <v>31</v>
      </c>
      <c r="D535" s="7" t="s">
        <v>2024</v>
      </c>
      <c r="E535" s="7" t="s">
        <v>2025</v>
      </c>
      <c r="F535" s="7" t="s">
        <v>34</v>
      </c>
      <c r="G535" s="10" t="n">
        <v>2026</v>
      </c>
      <c r="H535" s="7" t="s">
        <v>2026</v>
      </c>
      <c r="I535" s="7" t="s">
        <v>2018</v>
      </c>
      <c r="J535" s="8" t="s">
        <v>1875</v>
      </c>
      <c r="K535" s="6" t="s">
        <v>22</v>
      </c>
      <c r="L535" s="7"/>
      <c r="M535" s="8" t="s">
        <v>1771</v>
      </c>
    </row>
    <row r="536" customFormat="false" ht="15" hidden="false" customHeight="false" outlineLevel="0" collapsed="false">
      <c r="A536" s="3" t="s">
        <v>2027</v>
      </c>
      <c r="B536" s="3" t="s">
        <v>695</v>
      </c>
      <c r="C536" s="4" t="s">
        <v>15</v>
      </c>
      <c r="D536" s="3" t="s">
        <v>2028</v>
      </c>
      <c r="E536" s="3" t="s">
        <v>2029</v>
      </c>
      <c r="F536" s="3" t="s">
        <v>1624</v>
      </c>
      <c r="G536" s="5"/>
      <c r="H536" s="3" t="s">
        <v>2030</v>
      </c>
      <c r="I536" s="3" t="s">
        <v>2031</v>
      </c>
      <c r="J536" s="4" t="s">
        <v>1875</v>
      </c>
      <c r="K536" s="6" t="s">
        <v>22</v>
      </c>
      <c r="L536" s="3" t="s">
        <v>18</v>
      </c>
      <c r="M536" s="4" t="s">
        <v>1771</v>
      </c>
    </row>
    <row r="537" customFormat="false" ht="15" hidden="false" customHeight="false" outlineLevel="0" collapsed="false">
      <c r="A537" s="7" t="s">
        <v>2032</v>
      </c>
      <c r="B537" s="7" t="s">
        <v>695</v>
      </c>
      <c r="C537" s="8" t="s">
        <v>25</v>
      </c>
      <c r="D537" s="7" t="s">
        <v>2033</v>
      </c>
      <c r="E537" s="7" t="s">
        <v>2034</v>
      </c>
      <c r="F537" s="7" t="s">
        <v>1630</v>
      </c>
      <c r="G537" s="9"/>
      <c r="H537" s="7" t="s">
        <v>2035</v>
      </c>
      <c r="I537" s="7" t="s">
        <v>2031</v>
      </c>
      <c r="J537" s="8" t="s">
        <v>1875</v>
      </c>
      <c r="K537" s="6" t="s">
        <v>22</v>
      </c>
      <c r="L537" s="7" t="s">
        <v>28</v>
      </c>
      <c r="M537" s="8" t="s">
        <v>1771</v>
      </c>
    </row>
    <row r="538" customFormat="false" ht="15" hidden="false" customHeight="false" outlineLevel="0" collapsed="false">
      <c r="A538" s="3" t="s">
        <v>2036</v>
      </c>
      <c r="B538" s="3" t="s">
        <v>695</v>
      </c>
      <c r="C538" s="4" t="s">
        <v>31</v>
      </c>
      <c r="D538" s="3" t="s">
        <v>2037</v>
      </c>
      <c r="E538" s="3" t="s">
        <v>2038</v>
      </c>
      <c r="F538" s="3" t="s">
        <v>1635</v>
      </c>
      <c r="G538" s="5"/>
      <c r="H538" s="3" t="s">
        <v>2039</v>
      </c>
      <c r="I538" s="3" t="s">
        <v>2031</v>
      </c>
      <c r="J538" s="4" t="s">
        <v>1875</v>
      </c>
      <c r="K538" s="6" t="s">
        <v>22</v>
      </c>
      <c r="L538" s="3" t="s">
        <v>34</v>
      </c>
      <c r="M538" s="4" t="s">
        <v>1771</v>
      </c>
    </row>
    <row r="539" customFormat="false" ht="15" hidden="false" customHeight="false" outlineLevel="0" collapsed="false">
      <c r="A539" s="7" t="s">
        <v>2040</v>
      </c>
      <c r="B539" s="7" t="s">
        <v>695</v>
      </c>
      <c r="C539" s="8" t="s">
        <v>15</v>
      </c>
      <c r="D539" s="7" t="s">
        <v>2041</v>
      </c>
      <c r="E539" s="7" t="s">
        <v>2042</v>
      </c>
      <c r="F539" s="7" t="s">
        <v>1624</v>
      </c>
      <c r="G539" s="10" t="n">
        <v>2026</v>
      </c>
      <c r="H539" s="7" t="s">
        <v>2043</v>
      </c>
      <c r="I539" s="7" t="s">
        <v>2044</v>
      </c>
      <c r="J539" s="8" t="s">
        <v>1875</v>
      </c>
      <c r="K539" s="6" t="s">
        <v>22</v>
      </c>
      <c r="L539" s="7"/>
      <c r="M539" s="8" t="s">
        <v>1771</v>
      </c>
    </row>
    <row r="540" customFormat="false" ht="15" hidden="false" customHeight="false" outlineLevel="0" collapsed="false">
      <c r="A540" s="3" t="s">
        <v>2045</v>
      </c>
      <c r="B540" s="3" t="s">
        <v>695</v>
      </c>
      <c r="C540" s="4" t="s">
        <v>25</v>
      </c>
      <c r="D540" s="3" t="s">
        <v>2046</v>
      </c>
      <c r="E540" s="3" t="s">
        <v>2047</v>
      </c>
      <c r="F540" s="3" t="s">
        <v>1630</v>
      </c>
      <c r="G540" s="11" t="n">
        <v>2026</v>
      </c>
      <c r="H540" s="3" t="s">
        <v>2048</v>
      </c>
      <c r="I540" s="3" t="s">
        <v>2044</v>
      </c>
      <c r="J540" s="4" t="s">
        <v>1875</v>
      </c>
      <c r="K540" s="6" t="s">
        <v>22</v>
      </c>
      <c r="L540" s="3"/>
      <c r="M540" s="4" t="s">
        <v>1771</v>
      </c>
    </row>
    <row r="541" customFormat="false" ht="15" hidden="false" customHeight="false" outlineLevel="0" collapsed="false">
      <c r="A541" s="7" t="s">
        <v>2049</v>
      </c>
      <c r="B541" s="7" t="s">
        <v>695</v>
      </c>
      <c r="C541" s="8" t="s">
        <v>31</v>
      </c>
      <c r="D541" s="7" t="s">
        <v>2050</v>
      </c>
      <c r="E541" s="7" t="s">
        <v>2051</v>
      </c>
      <c r="F541" s="7" t="s">
        <v>1635</v>
      </c>
      <c r="G541" s="10" t="n">
        <v>2026</v>
      </c>
      <c r="H541" s="7" t="s">
        <v>2052</v>
      </c>
      <c r="I541" s="7" t="s">
        <v>2044</v>
      </c>
      <c r="J541" s="8" t="s">
        <v>1875</v>
      </c>
      <c r="K541" s="6" t="s">
        <v>22</v>
      </c>
      <c r="L541" s="7"/>
      <c r="M541" s="8" t="s">
        <v>1771</v>
      </c>
    </row>
    <row r="542" customFormat="false" ht="15" hidden="false" customHeight="false" outlineLevel="0" collapsed="false">
      <c r="A542" s="3" t="s">
        <v>2053</v>
      </c>
      <c r="B542" s="3" t="s">
        <v>448</v>
      </c>
      <c r="C542" s="4" t="s">
        <v>15</v>
      </c>
      <c r="D542" s="3" t="s">
        <v>2054</v>
      </c>
      <c r="E542" s="3" t="s">
        <v>2055</v>
      </c>
      <c r="F542" s="3" t="s">
        <v>18</v>
      </c>
      <c r="G542" s="11" t="n">
        <v>2026</v>
      </c>
      <c r="H542" s="3" t="s">
        <v>2056</v>
      </c>
      <c r="I542" s="3" t="s">
        <v>2057</v>
      </c>
      <c r="J542" s="4" t="s">
        <v>1875</v>
      </c>
      <c r="K542" s="6" t="s">
        <v>22</v>
      </c>
      <c r="L542" s="3"/>
      <c r="M542" s="4" t="s">
        <v>1771</v>
      </c>
    </row>
    <row r="543" customFormat="false" ht="15" hidden="false" customHeight="false" outlineLevel="0" collapsed="false">
      <c r="A543" s="7" t="s">
        <v>2058</v>
      </c>
      <c r="B543" s="7" t="s">
        <v>448</v>
      </c>
      <c r="C543" s="8" t="s">
        <v>25</v>
      </c>
      <c r="D543" s="7" t="s">
        <v>2059</v>
      </c>
      <c r="E543" s="7" t="s">
        <v>2060</v>
      </c>
      <c r="F543" s="7" t="s">
        <v>28</v>
      </c>
      <c r="G543" s="10" t="n">
        <v>2026</v>
      </c>
      <c r="H543" s="7" t="s">
        <v>2061</v>
      </c>
      <c r="I543" s="7" t="s">
        <v>2057</v>
      </c>
      <c r="J543" s="8" t="s">
        <v>1875</v>
      </c>
      <c r="K543" s="6" t="s">
        <v>22</v>
      </c>
      <c r="L543" s="7"/>
      <c r="M543" s="8" t="s">
        <v>1771</v>
      </c>
    </row>
    <row r="544" customFormat="false" ht="15" hidden="false" customHeight="false" outlineLevel="0" collapsed="false">
      <c r="A544" s="3" t="s">
        <v>2062</v>
      </c>
      <c r="B544" s="3" t="s">
        <v>448</v>
      </c>
      <c r="C544" s="4" t="s">
        <v>31</v>
      </c>
      <c r="D544" s="3" t="s">
        <v>2063</v>
      </c>
      <c r="E544" s="3" t="s">
        <v>2064</v>
      </c>
      <c r="F544" s="3" t="s">
        <v>34</v>
      </c>
      <c r="G544" s="11" t="n">
        <v>2026</v>
      </c>
      <c r="H544" s="3" t="s">
        <v>2065</v>
      </c>
      <c r="I544" s="3" t="s">
        <v>2057</v>
      </c>
      <c r="J544" s="4" t="s">
        <v>1875</v>
      </c>
      <c r="K544" s="6" t="s">
        <v>22</v>
      </c>
      <c r="L544" s="3"/>
      <c r="M544" s="4" t="s">
        <v>1771</v>
      </c>
    </row>
    <row r="545" customFormat="false" ht="15" hidden="false" customHeight="false" outlineLevel="0" collapsed="false">
      <c r="A545" s="7" t="s">
        <v>2066</v>
      </c>
      <c r="B545" s="7" t="s">
        <v>448</v>
      </c>
      <c r="C545" s="8" t="s">
        <v>15</v>
      </c>
      <c r="D545" s="7" t="s">
        <v>2067</v>
      </c>
      <c r="E545" s="7" t="s">
        <v>2068</v>
      </c>
      <c r="F545" s="7" t="s">
        <v>18</v>
      </c>
      <c r="G545" s="10" t="n">
        <v>2026</v>
      </c>
      <c r="H545" s="7" t="s">
        <v>2069</v>
      </c>
      <c r="I545" s="7" t="s">
        <v>2070</v>
      </c>
      <c r="J545" s="8" t="s">
        <v>1875</v>
      </c>
      <c r="K545" s="6" t="s">
        <v>22</v>
      </c>
      <c r="L545" s="7"/>
      <c r="M545" s="8" t="s">
        <v>1771</v>
      </c>
    </row>
    <row r="546" customFormat="false" ht="15" hidden="false" customHeight="false" outlineLevel="0" collapsed="false">
      <c r="A546" s="3" t="s">
        <v>2071</v>
      </c>
      <c r="B546" s="3" t="s">
        <v>448</v>
      </c>
      <c r="C546" s="4" t="s">
        <v>25</v>
      </c>
      <c r="D546" s="3" t="s">
        <v>2072</v>
      </c>
      <c r="E546" s="3" t="s">
        <v>2073</v>
      </c>
      <c r="F546" s="3" t="s">
        <v>28</v>
      </c>
      <c r="G546" s="11" t="n">
        <v>2026</v>
      </c>
      <c r="H546" s="3" t="s">
        <v>2074</v>
      </c>
      <c r="I546" s="3" t="s">
        <v>2070</v>
      </c>
      <c r="J546" s="4" t="s">
        <v>1875</v>
      </c>
      <c r="K546" s="6" t="s">
        <v>22</v>
      </c>
      <c r="L546" s="3"/>
      <c r="M546" s="4" t="s">
        <v>1771</v>
      </c>
    </row>
    <row r="547" customFormat="false" ht="15" hidden="false" customHeight="false" outlineLevel="0" collapsed="false">
      <c r="A547" s="7" t="s">
        <v>2075</v>
      </c>
      <c r="B547" s="7" t="s">
        <v>448</v>
      </c>
      <c r="C547" s="8" t="s">
        <v>31</v>
      </c>
      <c r="D547" s="7" t="s">
        <v>2076</v>
      </c>
      <c r="E547" s="7" t="s">
        <v>2077</v>
      </c>
      <c r="F547" s="7" t="s">
        <v>34</v>
      </c>
      <c r="G547" s="10" t="n">
        <v>2026</v>
      </c>
      <c r="H547" s="7" t="s">
        <v>2078</v>
      </c>
      <c r="I547" s="7" t="s">
        <v>2070</v>
      </c>
      <c r="J547" s="8" t="s">
        <v>1875</v>
      </c>
      <c r="K547" s="6" t="s">
        <v>22</v>
      </c>
      <c r="L547" s="7"/>
      <c r="M547" s="8" t="s">
        <v>1771</v>
      </c>
    </row>
    <row r="548" customFormat="false" ht="15" hidden="false" customHeight="false" outlineLevel="0" collapsed="false">
      <c r="A548" s="3" t="s">
        <v>2079</v>
      </c>
      <c r="B548" s="3" t="s">
        <v>556</v>
      </c>
      <c r="C548" s="4" t="s">
        <v>15</v>
      </c>
      <c r="D548" s="3" t="s">
        <v>2080</v>
      </c>
      <c r="E548" s="3" t="s">
        <v>2081</v>
      </c>
      <c r="F548" s="3" t="s">
        <v>18</v>
      </c>
      <c r="G548" s="11" t="n">
        <v>2026</v>
      </c>
      <c r="H548" s="3" t="s">
        <v>2082</v>
      </c>
      <c r="I548" s="3" t="s">
        <v>2083</v>
      </c>
      <c r="J548" s="4" t="s">
        <v>1875</v>
      </c>
      <c r="K548" s="6" t="s">
        <v>22</v>
      </c>
      <c r="L548" s="3"/>
      <c r="M548" s="4" t="s">
        <v>1771</v>
      </c>
    </row>
    <row r="549" customFormat="false" ht="15" hidden="false" customHeight="false" outlineLevel="0" collapsed="false">
      <c r="A549" s="7" t="s">
        <v>2084</v>
      </c>
      <c r="B549" s="7" t="s">
        <v>556</v>
      </c>
      <c r="C549" s="8" t="s">
        <v>25</v>
      </c>
      <c r="D549" s="7" t="s">
        <v>2085</v>
      </c>
      <c r="E549" s="7" t="s">
        <v>2086</v>
      </c>
      <c r="F549" s="7" t="s">
        <v>28</v>
      </c>
      <c r="G549" s="10" t="n">
        <v>2026</v>
      </c>
      <c r="H549" s="7" t="s">
        <v>2087</v>
      </c>
      <c r="I549" s="7" t="s">
        <v>2083</v>
      </c>
      <c r="J549" s="8" t="s">
        <v>1875</v>
      </c>
      <c r="K549" s="6" t="s">
        <v>22</v>
      </c>
      <c r="L549" s="7"/>
      <c r="M549" s="8" t="s">
        <v>1771</v>
      </c>
    </row>
    <row r="550" customFormat="false" ht="15" hidden="false" customHeight="false" outlineLevel="0" collapsed="false">
      <c r="A550" s="3" t="s">
        <v>2088</v>
      </c>
      <c r="B550" s="3" t="s">
        <v>556</v>
      </c>
      <c r="C550" s="4" t="s">
        <v>31</v>
      </c>
      <c r="D550" s="3" t="s">
        <v>2089</v>
      </c>
      <c r="E550" s="3" t="s">
        <v>2090</v>
      </c>
      <c r="F550" s="3" t="s">
        <v>34</v>
      </c>
      <c r="G550" s="11" t="n">
        <v>2026</v>
      </c>
      <c r="H550" s="3" t="s">
        <v>2091</v>
      </c>
      <c r="I550" s="3" t="s">
        <v>2083</v>
      </c>
      <c r="J550" s="4" t="s">
        <v>1875</v>
      </c>
      <c r="K550" s="6" t="s">
        <v>22</v>
      </c>
      <c r="L550" s="3"/>
      <c r="M550" s="4" t="s">
        <v>1771</v>
      </c>
    </row>
    <row r="551" customFormat="false" ht="15" hidden="false" customHeight="false" outlineLevel="0" collapsed="false">
      <c r="A551" s="7" t="s">
        <v>2092</v>
      </c>
      <c r="B551" s="7" t="s">
        <v>448</v>
      </c>
      <c r="C551" s="8" t="s">
        <v>15</v>
      </c>
      <c r="D551" s="7" t="s">
        <v>2093</v>
      </c>
      <c r="E551" s="7" t="s">
        <v>2094</v>
      </c>
      <c r="F551" s="7" t="s">
        <v>18</v>
      </c>
      <c r="G551" s="10" t="n">
        <v>2026</v>
      </c>
      <c r="H551" s="7" t="s">
        <v>2095</v>
      </c>
      <c r="I551" s="7" t="s">
        <v>2096</v>
      </c>
      <c r="J551" s="8" t="s">
        <v>1875</v>
      </c>
      <c r="K551" s="6" t="s">
        <v>22</v>
      </c>
      <c r="L551" s="7"/>
      <c r="M551" s="8" t="s">
        <v>1771</v>
      </c>
    </row>
    <row r="552" customFormat="false" ht="15" hidden="false" customHeight="false" outlineLevel="0" collapsed="false">
      <c r="A552" s="3" t="s">
        <v>2097</v>
      </c>
      <c r="B552" s="3" t="s">
        <v>448</v>
      </c>
      <c r="C552" s="4" t="s">
        <v>25</v>
      </c>
      <c r="D552" s="3" t="s">
        <v>2098</v>
      </c>
      <c r="E552" s="3" t="s">
        <v>2099</v>
      </c>
      <c r="F552" s="3" t="s">
        <v>28</v>
      </c>
      <c r="G552" s="11" t="n">
        <v>2026</v>
      </c>
      <c r="H552" s="3" t="s">
        <v>2100</v>
      </c>
      <c r="I552" s="3" t="s">
        <v>2096</v>
      </c>
      <c r="J552" s="4" t="s">
        <v>1875</v>
      </c>
      <c r="K552" s="6" t="s">
        <v>22</v>
      </c>
      <c r="L552" s="3"/>
      <c r="M552" s="4" t="s">
        <v>1771</v>
      </c>
    </row>
    <row r="553" customFormat="false" ht="15" hidden="false" customHeight="false" outlineLevel="0" collapsed="false">
      <c r="A553" s="7" t="s">
        <v>2101</v>
      </c>
      <c r="B553" s="7" t="s">
        <v>448</v>
      </c>
      <c r="C553" s="8" t="s">
        <v>31</v>
      </c>
      <c r="D553" s="7" t="s">
        <v>2011</v>
      </c>
      <c r="E553" s="7" t="s">
        <v>2102</v>
      </c>
      <c r="F553" s="7" t="s">
        <v>34</v>
      </c>
      <c r="G553" s="10" t="n">
        <v>2026</v>
      </c>
      <c r="H553" s="7" t="s">
        <v>2103</v>
      </c>
      <c r="I553" s="7" t="s">
        <v>2096</v>
      </c>
      <c r="J553" s="8" t="s">
        <v>1875</v>
      </c>
      <c r="K553" s="6" t="s">
        <v>22</v>
      </c>
      <c r="L553" s="7"/>
      <c r="M553" s="8" t="s">
        <v>1771</v>
      </c>
    </row>
    <row r="554" customFormat="false" ht="15" hidden="false" customHeight="false" outlineLevel="0" collapsed="false">
      <c r="A554" s="3" t="s">
        <v>2104</v>
      </c>
      <c r="B554" s="3" t="s">
        <v>556</v>
      </c>
      <c r="C554" s="4" t="s">
        <v>15</v>
      </c>
      <c r="D554" s="3" t="s">
        <v>2105</v>
      </c>
      <c r="E554" s="3" t="s">
        <v>2106</v>
      </c>
      <c r="F554" s="3" t="s">
        <v>18</v>
      </c>
      <c r="G554" s="11" t="n">
        <v>2026</v>
      </c>
      <c r="H554" s="3" t="s">
        <v>2107</v>
      </c>
      <c r="I554" s="3" t="s">
        <v>2108</v>
      </c>
      <c r="J554" s="4" t="s">
        <v>1875</v>
      </c>
      <c r="K554" s="6" t="s">
        <v>22</v>
      </c>
      <c r="L554" s="3"/>
      <c r="M554" s="4" t="s">
        <v>1771</v>
      </c>
    </row>
    <row r="555" customFormat="false" ht="15" hidden="false" customHeight="false" outlineLevel="0" collapsed="false">
      <c r="A555" s="7" t="s">
        <v>2109</v>
      </c>
      <c r="B555" s="7" t="s">
        <v>556</v>
      </c>
      <c r="C555" s="8" t="s">
        <v>25</v>
      </c>
      <c r="D555" s="7" t="s">
        <v>2110</v>
      </c>
      <c r="E555" s="7" t="s">
        <v>2111</v>
      </c>
      <c r="F555" s="7" t="s">
        <v>28</v>
      </c>
      <c r="G555" s="10" t="n">
        <v>2026</v>
      </c>
      <c r="H555" s="7" t="s">
        <v>2112</v>
      </c>
      <c r="I555" s="7" t="s">
        <v>2108</v>
      </c>
      <c r="J555" s="8" t="s">
        <v>1875</v>
      </c>
      <c r="K555" s="6" t="s">
        <v>22</v>
      </c>
      <c r="L555" s="7"/>
      <c r="M555" s="8" t="s">
        <v>1771</v>
      </c>
    </row>
    <row r="556" customFormat="false" ht="15" hidden="false" customHeight="false" outlineLevel="0" collapsed="false">
      <c r="A556" s="3" t="s">
        <v>2113</v>
      </c>
      <c r="B556" s="3" t="s">
        <v>556</v>
      </c>
      <c r="C556" s="4" t="s">
        <v>31</v>
      </c>
      <c r="D556" s="3" t="s">
        <v>2114</v>
      </c>
      <c r="E556" s="3" t="s">
        <v>2115</v>
      </c>
      <c r="F556" s="3" t="s">
        <v>34</v>
      </c>
      <c r="G556" s="11" t="n">
        <v>2026</v>
      </c>
      <c r="H556" s="3" t="s">
        <v>2116</v>
      </c>
      <c r="I556" s="3" t="s">
        <v>2108</v>
      </c>
      <c r="J556" s="4" t="s">
        <v>1875</v>
      </c>
      <c r="K556" s="6" t="s">
        <v>22</v>
      </c>
      <c r="L556" s="3"/>
      <c r="M556" s="4" t="s">
        <v>1771</v>
      </c>
    </row>
    <row r="557" customFormat="false" ht="15" hidden="false" customHeight="false" outlineLevel="0" collapsed="false">
      <c r="A557" s="7" t="s">
        <v>2117</v>
      </c>
      <c r="B557" s="7" t="s">
        <v>620</v>
      </c>
      <c r="C557" s="8" t="s">
        <v>15</v>
      </c>
      <c r="D557" s="7" t="s">
        <v>2118</v>
      </c>
      <c r="E557" s="7" t="s">
        <v>2119</v>
      </c>
      <c r="F557" s="7" t="s">
        <v>681</v>
      </c>
      <c r="G557" s="10" t="n">
        <v>2026</v>
      </c>
      <c r="H557" s="7" t="s">
        <v>2120</v>
      </c>
      <c r="I557" s="7" t="s">
        <v>2121</v>
      </c>
      <c r="J557" s="8" t="s">
        <v>1875</v>
      </c>
      <c r="K557" s="6" t="s">
        <v>22</v>
      </c>
      <c r="L557" s="7"/>
      <c r="M557" s="8" t="s">
        <v>1771</v>
      </c>
    </row>
    <row r="558" customFormat="false" ht="15" hidden="false" customHeight="false" outlineLevel="0" collapsed="false">
      <c r="A558" s="3" t="s">
        <v>2122</v>
      </c>
      <c r="B558" s="3" t="s">
        <v>620</v>
      </c>
      <c r="C558" s="4" t="s">
        <v>25</v>
      </c>
      <c r="D558" s="3" t="s">
        <v>2123</v>
      </c>
      <c r="E558" s="3" t="s">
        <v>2124</v>
      </c>
      <c r="F558" s="3" t="s">
        <v>687</v>
      </c>
      <c r="G558" s="11" t="n">
        <v>2026</v>
      </c>
      <c r="H558" s="3" t="s">
        <v>2125</v>
      </c>
      <c r="I558" s="3" t="s">
        <v>2121</v>
      </c>
      <c r="J558" s="4" t="s">
        <v>1875</v>
      </c>
      <c r="K558" s="6" t="s">
        <v>22</v>
      </c>
      <c r="L558" s="3"/>
      <c r="M558" s="4" t="s">
        <v>1771</v>
      </c>
    </row>
    <row r="559" customFormat="false" ht="15" hidden="false" customHeight="false" outlineLevel="0" collapsed="false">
      <c r="A559" s="7" t="s">
        <v>2126</v>
      </c>
      <c r="B559" s="7" t="s">
        <v>620</v>
      </c>
      <c r="C559" s="8" t="s">
        <v>31</v>
      </c>
      <c r="D559" s="7" t="s">
        <v>2127</v>
      </c>
      <c r="E559" s="7" t="s">
        <v>2128</v>
      </c>
      <c r="F559" s="7" t="s">
        <v>692</v>
      </c>
      <c r="G559" s="10" t="n">
        <v>2026</v>
      </c>
      <c r="H559" s="7" t="s">
        <v>2129</v>
      </c>
      <c r="I559" s="7" t="s">
        <v>2121</v>
      </c>
      <c r="J559" s="8" t="s">
        <v>1875</v>
      </c>
      <c r="K559" s="6" t="s">
        <v>22</v>
      </c>
      <c r="L559" s="7"/>
      <c r="M559" s="8" t="s">
        <v>1771</v>
      </c>
    </row>
    <row r="560" customFormat="false" ht="15" hidden="false" customHeight="false" outlineLevel="0" collapsed="false">
      <c r="A560" s="3" t="s">
        <v>2130</v>
      </c>
      <c r="B560" s="3" t="s">
        <v>620</v>
      </c>
      <c r="C560" s="4" t="s">
        <v>15</v>
      </c>
      <c r="D560" s="3" t="s">
        <v>2131</v>
      </c>
      <c r="E560" s="3" t="s">
        <v>2132</v>
      </c>
      <c r="F560" s="3" t="s">
        <v>681</v>
      </c>
      <c r="G560" s="11" t="n">
        <v>2026</v>
      </c>
      <c r="H560" s="3" t="s">
        <v>2133</v>
      </c>
      <c r="I560" s="3" t="s">
        <v>2134</v>
      </c>
      <c r="J560" s="4" t="s">
        <v>1875</v>
      </c>
      <c r="K560" s="6" t="s">
        <v>22</v>
      </c>
      <c r="L560" s="3"/>
      <c r="M560" s="4" t="s">
        <v>1771</v>
      </c>
    </row>
    <row r="561" customFormat="false" ht="15" hidden="false" customHeight="false" outlineLevel="0" collapsed="false">
      <c r="A561" s="7" t="s">
        <v>2135</v>
      </c>
      <c r="B561" s="7" t="s">
        <v>620</v>
      </c>
      <c r="C561" s="8" t="s">
        <v>25</v>
      </c>
      <c r="D561" s="7" t="s">
        <v>2136</v>
      </c>
      <c r="E561" s="7" t="s">
        <v>2137</v>
      </c>
      <c r="F561" s="7" t="s">
        <v>687</v>
      </c>
      <c r="G561" s="10" t="n">
        <v>2026</v>
      </c>
      <c r="H561" s="7" t="s">
        <v>2138</v>
      </c>
      <c r="I561" s="7" t="s">
        <v>2134</v>
      </c>
      <c r="J561" s="8" t="s">
        <v>1875</v>
      </c>
      <c r="K561" s="6" t="s">
        <v>22</v>
      </c>
      <c r="L561" s="7"/>
      <c r="M561" s="8" t="s">
        <v>1771</v>
      </c>
    </row>
    <row r="562" customFormat="false" ht="15" hidden="false" customHeight="false" outlineLevel="0" collapsed="false">
      <c r="A562" s="3" t="s">
        <v>2139</v>
      </c>
      <c r="B562" s="3" t="s">
        <v>620</v>
      </c>
      <c r="C562" s="4" t="s">
        <v>31</v>
      </c>
      <c r="D562" s="3" t="s">
        <v>2140</v>
      </c>
      <c r="E562" s="3" t="s">
        <v>2141</v>
      </c>
      <c r="F562" s="3" t="s">
        <v>692</v>
      </c>
      <c r="G562" s="11" t="n">
        <v>2026</v>
      </c>
      <c r="H562" s="3" t="s">
        <v>2142</v>
      </c>
      <c r="I562" s="3" t="s">
        <v>2134</v>
      </c>
      <c r="J562" s="4" t="s">
        <v>1875</v>
      </c>
      <c r="K562" s="6" t="s">
        <v>22</v>
      </c>
      <c r="L562" s="3"/>
      <c r="M562" s="4" t="s">
        <v>1771</v>
      </c>
    </row>
    <row r="563" customFormat="false" ht="15" hidden="false" customHeight="false" outlineLevel="0" collapsed="false">
      <c r="A563" s="7" t="s">
        <v>2143</v>
      </c>
      <c r="B563" s="7" t="s">
        <v>91</v>
      </c>
      <c r="C563" s="8" t="s">
        <v>15</v>
      </c>
      <c r="D563" s="7" t="s">
        <v>2144</v>
      </c>
      <c r="E563" s="7" t="s">
        <v>2145</v>
      </c>
      <c r="F563" s="7" t="s">
        <v>18</v>
      </c>
      <c r="G563" s="9"/>
      <c r="H563" s="7" t="s">
        <v>2146</v>
      </c>
      <c r="I563" s="7" t="s">
        <v>2147</v>
      </c>
      <c r="J563" s="8" t="s">
        <v>1875</v>
      </c>
      <c r="K563" s="6" t="s">
        <v>22</v>
      </c>
      <c r="L563" s="7"/>
      <c r="M563" s="8" t="s">
        <v>1771</v>
      </c>
    </row>
    <row r="564" customFormat="false" ht="15" hidden="false" customHeight="false" outlineLevel="0" collapsed="false">
      <c r="A564" s="3" t="s">
        <v>2148</v>
      </c>
      <c r="B564" s="3" t="s">
        <v>91</v>
      </c>
      <c r="C564" s="4" t="s">
        <v>25</v>
      </c>
      <c r="D564" s="3" t="s">
        <v>2149</v>
      </c>
      <c r="E564" s="3" t="s">
        <v>2150</v>
      </c>
      <c r="F564" s="3" t="s">
        <v>28</v>
      </c>
      <c r="G564" s="5"/>
      <c r="H564" s="3" t="s">
        <v>2151</v>
      </c>
      <c r="I564" s="3" t="s">
        <v>2147</v>
      </c>
      <c r="J564" s="4" t="s">
        <v>1875</v>
      </c>
      <c r="K564" s="6" t="s">
        <v>22</v>
      </c>
      <c r="L564" s="3"/>
      <c r="M564" s="4" t="s">
        <v>1771</v>
      </c>
    </row>
    <row r="565" customFormat="false" ht="15" hidden="false" customHeight="false" outlineLevel="0" collapsed="false">
      <c r="A565" s="7" t="s">
        <v>2152</v>
      </c>
      <c r="B565" s="7" t="s">
        <v>91</v>
      </c>
      <c r="C565" s="8" t="s">
        <v>31</v>
      </c>
      <c r="D565" s="7" t="s">
        <v>2153</v>
      </c>
      <c r="E565" s="7" t="s">
        <v>2154</v>
      </c>
      <c r="F565" s="7" t="s">
        <v>34</v>
      </c>
      <c r="G565" s="9"/>
      <c r="H565" s="7" t="s">
        <v>2155</v>
      </c>
      <c r="I565" s="7" t="s">
        <v>2147</v>
      </c>
      <c r="J565" s="8" t="s">
        <v>1875</v>
      </c>
      <c r="K565" s="6" t="s">
        <v>22</v>
      </c>
      <c r="L565" s="7"/>
      <c r="M565" s="8" t="s">
        <v>1771</v>
      </c>
    </row>
    <row r="566" customFormat="false" ht="15" hidden="false" customHeight="false" outlineLevel="0" collapsed="false">
      <c r="A566" s="3" t="s">
        <v>2156</v>
      </c>
      <c r="B566" s="3" t="s">
        <v>14</v>
      </c>
      <c r="C566" s="4" t="s">
        <v>15</v>
      </c>
      <c r="D566" s="3" t="s">
        <v>2157</v>
      </c>
      <c r="E566" s="3" t="s">
        <v>2158</v>
      </c>
      <c r="F566" s="3" t="s">
        <v>18</v>
      </c>
      <c r="G566" s="5"/>
      <c r="H566" s="3" t="s">
        <v>2159</v>
      </c>
      <c r="I566" s="3" t="s">
        <v>2160</v>
      </c>
      <c r="J566" s="4" t="s">
        <v>1875</v>
      </c>
      <c r="K566" s="6" t="s">
        <v>22</v>
      </c>
      <c r="L566" s="3"/>
      <c r="M566" s="4" t="s">
        <v>1771</v>
      </c>
    </row>
    <row r="567" customFormat="false" ht="15" hidden="false" customHeight="false" outlineLevel="0" collapsed="false">
      <c r="A567" s="7" t="s">
        <v>2161</v>
      </c>
      <c r="B567" s="7" t="s">
        <v>14</v>
      </c>
      <c r="C567" s="8" t="s">
        <v>25</v>
      </c>
      <c r="D567" s="7" t="s">
        <v>2162</v>
      </c>
      <c r="E567" s="7" t="s">
        <v>2163</v>
      </c>
      <c r="F567" s="7" t="s">
        <v>28</v>
      </c>
      <c r="G567" s="9"/>
      <c r="H567" s="7" t="s">
        <v>2164</v>
      </c>
      <c r="I567" s="7" t="s">
        <v>2160</v>
      </c>
      <c r="J567" s="8" t="s">
        <v>1875</v>
      </c>
      <c r="K567" s="6" t="s">
        <v>22</v>
      </c>
      <c r="L567" s="7"/>
      <c r="M567" s="8" t="s">
        <v>1771</v>
      </c>
    </row>
    <row r="568" customFormat="false" ht="15" hidden="false" customHeight="false" outlineLevel="0" collapsed="false">
      <c r="A568" s="3" t="s">
        <v>2165</v>
      </c>
      <c r="B568" s="3" t="s">
        <v>14</v>
      </c>
      <c r="C568" s="4" t="s">
        <v>31</v>
      </c>
      <c r="D568" s="3" t="s">
        <v>2166</v>
      </c>
      <c r="E568" s="3" t="s">
        <v>2167</v>
      </c>
      <c r="F568" s="3" t="s">
        <v>34</v>
      </c>
      <c r="G568" s="5"/>
      <c r="H568" s="3" t="s">
        <v>2168</v>
      </c>
      <c r="I568" s="3" t="s">
        <v>2160</v>
      </c>
      <c r="J568" s="4" t="s">
        <v>1875</v>
      </c>
      <c r="K568" s="6" t="s">
        <v>22</v>
      </c>
      <c r="L568" s="3"/>
      <c r="M568" s="4" t="s">
        <v>1771</v>
      </c>
    </row>
    <row r="569" customFormat="false" ht="15" hidden="false" customHeight="false" outlineLevel="0" collapsed="false">
      <c r="A569" s="7" t="s">
        <v>2169</v>
      </c>
      <c r="B569" s="7" t="s">
        <v>864</v>
      </c>
      <c r="C569" s="8" t="s">
        <v>15</v>
      </c>
      <c r="D569" s="7" t="s">
        <v>2170</v>
      </c>
      <c r="E569" s="7" t="s">
        <v>2171</v>
      </c>
      <c r="F569" s="7" t="s">
        <v>18</v>
      </c>
      <c r="G569" s="9"/>
      <c r="H569" s="7" t="s">
        <v>2172</v>
      </c>
      <c r="I569" s="7" t="s">
        <v>2173</v>
      </c>
      <c r="J569" s="8" t="s">
        <v>1875</v>
      </c>
      <c r="K569" s="6" t="s">
        <v>22</v>
      </c>
      <c r="L569" s="7"/>
      <c r="M569" s="8" t="s">
        <v>1771</v>
      </c>
    </row>
    <row r="570" customFormat="false" ht="15" hidden="false" customHeight="false" outlineLevel="0" collapsed="false">
      <c r="A570" s="3" t="s">
        <v>2174</v>
      </c>
      <c r="B570" s="3" t="s">
        <v>864</v>
      </c>
      <c r="C570" s="4" t="s">
        <v>25</v>
      </c>
      <c r="D570" s="3" t="s">
        <v>2175</v>
      </c>
      <c r="E570" s="3" t="s">
        <v>2176</v>
      </c>
      <c r="F570" s="3" t="s">
        <v>28</v>
      </c>
      <c r="G570" s="5"/>
      <c r="H570" s="3" t="s">
        <v>2177</v>
      </c>
      <c r="I570" s="3" t="s">
        <v>2173</v>
      </c>
      <c r="J570" s="4" t="s">
        <v>1875</v>
      </c>
      <c r="K570" s="6" t="s">
        <v>22</v>
      </c>
      <c r="L570" s="3"/>
      <c r="M570" s="4" t="s">
        <v>1771</v>
      </c>
    </row>
    <row r="571" customFormat="false" ht="15" hidden="false" customHeight="false" outlineLevel="0" collapsed="false">
      <c r="A571" s="7" t="s">
        <v>2178</v>
      </c>
      <c r="B571" s="7" t="s">
        <v>864</v>
      </c>
      <c r="C571" s="8" t="s">
        <v>31</v>
      </c>
      <c r="D571" s="7" t="s">
        <v>2179</v>
      </c>
      <c r="E571" s="7" t="s">
        <v>2180</v>
      </c>
      <c r="F571" s="7" t="s">
        <v>34</v>
      </c>
      <c r="G571" s="9"/>
      <c r="H571" s="7" t="s">
        <v>2181</v>
      </c>
      <c r="I571" s="7" t="s">
        <v>2173</v>
      </c>
      <c r="J571" s="8" t="s">
        <v>1875</v>
      </c>
      <c r="K571" s="6" t="s">
        <v>22</v>
      </c>
      <c r="L571" s="7"/>
      <c r="M571" s="8" t="s">
        <v>1771</v>
      </c>
    </row>
    <row r="572" customFormat="false" ht="15" hidden="false" customHeight="false" outlineLevel="0" collapsed="false">
      <c r="A572" s="3" t="s">
        <v>2182</v>
      </c>
      <c r="B572" s="3" t="s">
        <v>556</v>
      </c>
      <c r="C572" s="4" t="s">
        <v>15</v>
      </c>
      <c r="D572" s="3" t="s">
        <v>2183</v>
      </c>
      <c r="E572" s="3" t="s">
        <v>2184</v>
      </c>
      <c r="F572" s="3" t="s">
        <v>18</v>
      </c>
      <c r="G572" s="11" t="n">
        <v>2026</v>
      </c>
      <c r="H572" s="3" t="s">
        <v>2185</v>
      </c>
      <c r="I572" s="3" t="s">
        <v>2186</v>
      </c>
      <c r="J572" s="4" t="s">
        <v>1875</v>
      </c>
      <c r="K572" s="6" t="s">
        <v>22</v>
      </c>
      <c r="L572" s="3"/>
      <c r="M572" s="4" t="s">
        <v>1771</v>
      </c>
    </row>
    <row r="573" customFormat="false" ht="15" hidden="false" customHeight="false" outlineLevel="0" collapsed="false">
      <c r="A573" s="7" t="s">
        <v>2187</v>
      </c>
      <c r="B573" s="7" t="s">
        <v>556</v>
      </c>
      <c r="C573" s="8" t="s">
        <v>25</v>
      </c>
      <c r="D573" s="7" t="s">
        <v>2188</v>
      </c>
      <c r="E573" s="7" t="s">
        <v>2189</v>
      </c>
      <c r="F573" s="7" t="s">
        <v>28</v>
      </c>
      <c r="G573" s="10" t="n">
        <v>2026</v>
      </c>
      <c r="H573" s="7" t="s">
        <v>2190</v>
      </c>
      <c r="I573" s="7" t="s">
        <v>2186</v>
      </c>
      <c r="J573" s="8" t="s">
        <v>1875</v>
      </c>
      <c r="K573" s="6" t="s">
        <v>22</v>
      </c>
      <c r="L573" s="7"/>
      <c r="M573" s="8" t="s">
        <v>1771</v>
      </c>
    </row>
    <row r="574" customFormat="false" ht="15" hidden="false" customHeight="false" outlineLevel="0" collapsed="false">
      <c r="A574" s="3" t="s">
        <v>2191</v>
      </c>
      <c r="B574" s="3" t="s">
        <v>556</v>
      </c>
      <c r="C574" s="4" t="s">
        <v>31</v>
      </c>
      <c r="D574" s="3" t="s">
        <v>2192</v>
      </c>
      <c r="E574" s="3" t="s">
        <v>2193</v>
      </c>
      <c r="F574" s="3" t="s">
        <v>34</v>
      </c>
      <c r="G574" s="11" t="n">
        <v>2026</v>
      </c>
      <c r="H574" s="3" t="s">
        <v>2194</v>
      </c>
      <c r="I574" s="3" t="s">
        <v>2186</v>
      </c>
      <c r="J574" s="4" t="s">
        <v>1875</v>
      </c>
      <c r="K574" s="6" t="s">
        <v>22</v>
      </c>
      <c r="L574" s="3"/>
      <c r="M574" s="4" t="s">
        <v>1771</v>
      </c>
    </row>
    <row r="575" customFormat="false" ht="15" hidden="false" customHeight="false" outlineLevel="0" collapsed="false">
      <c r="A575" s="7" t="s">
        <v>2195</v>
      </c>
      <c r="B575" s="7" t="s">
        <v>91</v>
      </c>
      <c r="C575" s="8" t="s">
        <v>15</v>
      </c>
      <c r="D575" s="7" t="s">
        <v>2196</v>
      </c>
      <c r="E575" s="7" t="s">
        <v>2197</v>
      </c>
      <c r="F575" s="7" t="s">
        <v>18</v>
      </c>
      <c r="G575" s="9"/>
      <c r="H575" s="7" t="s">
        <v>2198</v>
      </c>
      <c r="I575" s="7" t="s">
        <v>2199</v>
      </c>
      <c r="J575" s="8" t="s">
        <v>1875</v>
      </c>
      <c r="K575" s="6" t="s">
        <v>22</v>
      </c>
      <c r="L575" s="7"/>
      <c r="M575" s="8" t="s">
        <v>1771</v>
      </c>
    </row>
    <row r="576" customFormat="false" ht="15" hidden="false" customHeight="false" outlineLevel="0" collapsed="false">
      <c r="A576" s="3" t="s">
        <v>2200</v>
      </c>
      <c r="B576" s="3" t="s">
        <v>91</v>
      </c>
      <c r="C576" s="4" t="s">
        <v>25</v>
      </c>
      <c r="D576" s="3" t="s">
        <v>2201</v>
      </c>
      <c r="E576" s="3" t="s">
        <v>2202</v>
      </c>
      <c r="F576" s="3" t="s">
        <v>28</v>
      </c>
      <c r="G576" s="5"/>
      <c r="H576" s="3" t="s">
        <v>2203</v>
      </c>
      <c r="I576" s="3" t="s">
        <v>2199</v>
      </c>
      <c r="J576" s="4" t="s">
        <v>1875</v>
      </c>
      <c r="K576" s="6" t="s">
        <v>22</v>
      </c>
      <c r="L576" s="3"/>
      <c r="M576" s="4" t="s">
        <v>1771</v>
      </c>
    </row>
    <row r="577" customFormat="false" ht="15" hidden="false" customHeight="false" outlineLevel="0" collapsed="false">
      <c r="A577" s="7" t="s">
        <v>2204</v>
      </c>
      <c r="B577" s="7" t="s">
        <v>91</v>
      </c>
      <c r="C577" s="8" t="s">
        <v>31</v>
      </c>
      <c r="D577" s="7" t="s">
        <v>2205</v>
      </c>
      <c r="E577" s="7" t="s">
        <v>2206</v>
      </c>
      <c r="F577" s="7" t="s">
        <v>34</v>
      </c>
      <c r="G577" s="9"/>
      <c r="H577" s="7" t="s">
        <v>2207</v>
      </c>
      <c r="I577" s="7" t="s">
        <v>2199</v>
      </c>
      <c r="J577" s="8" t="s">
        <v>1875</v>
      </c>
      <c r="K577" s="6" t="s">
        <v>22</v>
      </c>
      <c r="L577" s="7"/>
      <c r="M577" s="8" t="s">
        <v>1771</v>
      </c>
    </row>
    <row r="578" customFormat="false" ht="15" hidden="false" customHeight="false" outlineLevel="0" collapsed="false">
      <c r="A578" s="3" t="s">
        <v>2208</v>
      </c>
      <c r="B578" s="3" t="s">
        <v>14</v>
      </c>
      <c r="C578" s="4" t="s">
        <v>15</v>
      </c>
      <c r="D578" s="3" t="s">
        <v>2209</v>
      </c>
      <c r="E578" s="3" t="s">
        <v>2210</v>
      </c>
      <c r="F578" s="3" t="s">
        <v>18</v>
      </c>
      <c r="G578" s="5"/>
      <c r="H578" s="3" t="s">
        <v>2211</v>
      </c>
      <c r="I578" s="3" t="s">
        <v>2212</v>
      </c>
      <c r="J578" s="4" t="s">
        <v>1875</v>
      </c>
      <c r="K578" s="6" t="s">
        <v>22</v>
      </c>
      <c r="L578" s="3"/>
      <c r="M578" s="4" t="s">
        <v>1771</v>
      </c>
    </row>
    <row r="579" customFormat="false" ht="15" hidden="false" customHeight="false" outlineLevel="0" collapsed="false">
      <c r="A579" s="7" t="s">
        <v>2213</v>
      </c>
      <c r="B579" s="7" t="s">
        <v>14</v>
      </c>
      <c r="C579" s="8" t="s">
        <v>25</v>
      </c>
      <c r="D579" s="7" t="s">
        <v>2214</v>
      </c>
      <c r="E579" s="7" t="s">
        <v>2215</v>
      </c>
      <c r="F579" s="7" t="s">
        <v>28</v>
      </c>
      <c r="G579" s="9"/>
      <c r="H579" s="7" t="s">
        <v>2216</v>
      </c>
      <c r="I579" s="7" t="s">
        <v>2212</v>
      </c>
      <c r="J579" s="8" t="s">
        <v>1875</v>
      </c>
      <c r="K579" s="6" t="s">
        <v>22</v>
      </c>
      <c r="L579" s="7"/>
      <c r="M579" s="8" t="s">
        <v>1771</v>
      </c>
    </row>
    <row r="580" customFormat="false" ht="15" hidden="false" customHeight="false" outlineLevel="0" collapsed="false">
      <c r="A580" s="3" t="s">
        <v>2217</v>
      </c>
      <c r="B580" s="3" t="s">
        <v>14</v>
      </c>
      <c r="C580" s="4" t="s">
        <v>31</v>
      </c>
      <c r="D580" s="3" t="s">
        <v>2218</v>
      </c>
      <c r="E580" s="3" t="s">
        <v>2219</v>
      </c>
      <c r="F580" s="3" t="s">
        <v>34</v>
      </c>
      <c r="G580" s="5"/>
      <c r="H580" s="3" t="s">
        <v>2220</v>
      </c>
      <c r="I580" s="3" t="s">
        <v>2212</v>
      </c>
      <c r="J580" s="4" t="s">
        <v>1875</v>
      </c>
      <c r="K580" s="6" t="s">
        <v>22</v>
      </c>
      <c r="L580" s="3"/>
      <c r="M580" s="4" t="s">
        <v>1771</v>
      </c>
    </row>
    <row r="581" customFormat="false" ht="15" hidden="false" customHeight="false" outlineLevel="0" collapsed="false">
      <c r="A581" s="7" t="s">
        <v>2221</v>
      </c>
      <c r="B581" s="7" t="s">
        <v>448</v>
      </c>
      <c r="C581" s="8" t="s">
        <v>15</v>
      </c>
      <c r="D581" s="7" t="s">
        <v>2222</v>
      </c>
      <c r="E581" s="7" t="s">
        <v>2223</v>
      </c>
      <c r="F581" s="7" t="s">
        <v>1685</v>
      </c>
      <c r="G581" s="10" t="n">
        <v>2026</v>
      </c>
      <c r="H581" s="7" t="s">
        <v>2224</v>
      </c>
      <c r="I581" s="7" t="s">
        <v>2225</v>
      </c>
      <c r="J581" s="8" t="s">
        <v>1875</v>
      </c>
      <c r="K581" s="6" t="s">
        <v>22</v>
      </c>
      <c r="L581" s="7"/>
      <c r="M581" s="8" t="s">
        <v>1771</v>
      </c>
    </row>
    <row r="582" customFormat="false" ht="15" hidden="false" customHeight="false" outlineLevel="0" collapsed="false">
      <c r="A582" s="3" t="s">
        <v>2226</v>
      </c>
      <c r="B582" s="3" t="s">
        <v>448</v>
      </c>
      <c r="C582" s="4" t="s">
        <v>25</v>
      </c>
      <c r="D582" s="3" t="s">
        <v>2227</v>
      </c>
      <c r="E582" s="3" t="s">
        <v>2228</v>
      </c>
      <c r="F582" s="3" t="s">
        <v>1691</v>
      </c>
      <c r="G582" s="11" t="n">
        <v>2026</v>
      </c>
      <c r="H582" s="3" t="s">
        <v>2229</v>
      </c>
      <c r="I582" s="3" t="s">
        <v>2225</v>
      </c>
      <c r="J582" s="4" t="s">
        <v>1875</v>
      </c>
      <c r="K582" s="6" t="s">
        <v>22</v>
      </c>
      <c r="L582" s="3"/>
      <c r="M582" s="4" t="s">
        <v>1771</v>
      </c>
    </row>
    <row r="583" customFormat="false" ht="15" hidden="false" customHeight="false" outlineLevel="0" collapsed="false">
      <c r="A583" s="7" t="s">
        <v>2230</v>
      </c>
      <c r="B583" s="7" t="s">
        <v>448</v>
      </c>
      <c r="C583" s="8" t="s">
        <v>31</v>
      </c>
      <c r="D583" s="7" t="s">
        <v>2231</v>
      </c>
      <c r="E583" s="7" t="s">
        <v>2232</v>
      </c>
      <c r="F583" s="7" t="s">
        <v>1696</v>
      </c>
      <c r="G583" s="10" t="n">
        <v>2026</v>
      </c>
      <c r="H583" s="7" t="s">
        <v>2233</v>
      </c>
      <c r="I583" s="7" t="s">
        <v>2225</v>
      </c>
      <c r="J583" s="8" t="s">
        <v>1875</v>
      </c>
      <c r="K583" s="6" t="s">
        <v>22</v>
      </c>
      <c r="L583" s="7"/>
      <c r="M583" s="8" t="s">
        <v>1771</v>
      </c>
    </row>
    <row r="584" customFormat="false" ht="15" hidden="false" customHeight="false" outlineLevel="0" collapsed="false">
      <c r="A584" s="3" t="s">
        <v>2234</v>
      </c>
      <c r="B584" s="3" t="s">
        <v>823</v>
      </c>
      <c r="C584" s="4" t="s">
        <v>15</v>
      </c>
      <c r="D584" s="3" t="s">
        <v>2235</v>
      </c>
      <c r="E584" s="3" t="s">
        <v>2236</v>
      </c>
      <c r="F584" s="3" t="s">
        <v>1701</v>
      </c>
      <c r="G584" s="5"/>
      <c r="H584" s="3" t="s">
        <v>2237</v>
      </c>
      <c r="I584" s="3" t="s">
        <v>2238</v>
      </c>
      <c r="J584" s="4" t="s">
        <v>1875</v>
      </c>
      <c r="K584" s="6" t="s">
        <v>22</v>
      </c>
      <c r="L584" s="3"/>
      <c r="M584" s="4" t="s">
        <v>1771</v>
      </c>
    </row>
    <row r="585" customFormat="false" ht="15" hidden="false" customHeight="false" outlineLevel="0" collapsed="false">
      <c r="A585" s="7" t="s">
        <v>2239</v>
      </c>
      <c r="B585" s="7" t="s">
        <v>823</v>
      </c>
      <c r="C585" s="8" t="s">
        <v>25</v>
      </c>
      <c r="D585" s="7" t="s">
        <v>2240</v>
      </c>
      <c r="E585" s="7" t="s">
        <v>2241</v>
      </c>
      <c r="F585" s="7" t="s">
        <v>1707</v>
      </c>
      <c r="G585" s="9"/>
      <c r="H585" s="7" t="s">
        <v>2242</v>
      </c>
      <c r="I585" s="7" t="s">
        <v>2238</v>
      </c>
      <c r="J585" s="8" t="s">
        <v>1875</v>
      </c>
      <c r="K585" s="6" t="s">
        <v>22</v>
      </c>
      <c r="L585" s="7"/>
      <c r="M585" s="8" t="s">
        <v>1771</v>
      </c>
    </row>
    <row r="586" customFormat="false" ht="15" hidden="false" customHeight="false" outlineLevel="0" collapsed="false">
      <c r="A586" s="3" t="s">
        <v>2243</v>
      </c>
      <c r="B586" s="3" t="s">
        <v>823</v>
      </c>
      <c r="C586" s="4" t="s">
        <v>31</v>
      </c>
      <c r="D586" s="3" t="s">
        <v>2244</v>
      </c>
      <c r="E586" s="3" t="s">
        <v>2245</v>
      </c>
      <c r="F586" s="3" t="s">
        <v>1712</v>
      </c>
      <c r="G586" s="5"/>
      <c r="H586" s="3" t="s">
        <v>2246</v>
      </c>
      <c r="I586" s="3" t="s">
        <v>2238</v>
      </c>
      <c r="J586" s="4" t="s">
        <v>1875</v>
      </c>
      <c r="K586" s="6" t="s">
        <v>22</v>
      </c>
      <c r="L586" s="3"/>
      <c r="M586" s="4" t="s">
        <v>1771</v>
      </c>
    </row>
    <row r="587" customFormat="false" ht="15" hidden="false" customHeight="false" outlineLevel="0" collapsed="false">
      <c r="A587" s="7" t="s">
        <v>2247</v>
      </c>
      <c r="B587" s="7" t="s">
        <v>823</v>
      </c>
      <c r="C587" s="8" t="s">
        <v>15</v>
      </c>
      <c r="D587" s="7" t="s">
        <v>2248</v>
      </c>
      <c r="E587" s="7" t="s">
        <v>2249</v>
      </c>
      <c r="F587" s="7" t="s">
        <v>1701</v>
      </c>
      <c r="G587" s="9"/>
      <c r="H587" s="7" t="s">
        <v>2250</v>
      </c>
      <c r="I587" s="7" t="s">
        <v>2251</v>
      </c>
      <c r="J587" s="8" t="s">
        <v>1875</v>
      </c>
      <c r="K587" s="6" t="s">
        <v>22</v>
      </c>
      <c r="L587" s="7" t="s">
        <v>18</v>
      </c>
      <c r="M587" s="8" t="s">
        <v>1771</v>
      </c>
    </row>
    <row r="588" customFormat="false" ht="15" hidden="false" customHeight="false" outlineLevel="0" collapsed="false">
      <c r="A588" s="3" t="s">
        <v>2252</v>
      </c>
      <c r="B588" s="3" t="s">
        <v>823</v>
      </c>
      <c r="C588" s="4" t="s">
        <v>25</v>
      </c>
      <c r="D588" s="3" t="s">
        <v>2253</v>
      </c>
      <c r="E588" s="3" t="s">
        <v>2254</v>
      </c>
      <c r="F588" s="3" t="s">
        <v>1707</v>
      </c>
      <c r="G588" s="5"/>
      <c r="H588" s="3" t="s">
        <v>2255</v>
      </c>
      <c r="I588" s="3" t="s">
        <v>2251</v>
      </c>
      <c r="J588" s="4" t="s">
        <v>1875</v>
      </c>
      <c r="K588" s="6" t="s">
        <v>22</v>
      </c>
      <c r="L588" s="3" t="s">
        <v>28</v>
      </c>
      <c r="M588" s="4" t="s">
        <v>1771</v>
      </c>
    </row>
    <row r="589" customFormat="false" ht="15" hidden="false" customHeight="false" outlineLevel="0" collapsed="false">
      <c r="A589" s="7" t="s">
        <v>2256</v>
      </c>
      <c r="B589" s="7" t="s">
        <v>823</v>
      </c>
      <c r="C589" s="8" t="s">
        <v>31</v>
      </c>
      <c r="D589" s="7" t="s">
        <v>2257</v>
      </c>
      <c r="E589" s="7" t="s">
        <v>2258</v>
      </c>
      <c r="F589" s="7" t="s">
        <v>1712</v>
      </c>
      <c r="G589" s="9"/>
      <c r="H589" s="7" t="s">
        <v>2259</v>
      </c>
      <c r="I589" s="7" t="s">
        <v>2251</v>
      </c>
      <c r="J589" s="8" t="s">
        <v>1875</v>
      </c>
      <c r="K589" s="6" t="s">
        <v>22</v>
      </c>
      <c r="L589" s="7" t="s">
        <v>34</v>
      </c>
      <c r="M589" s="8" t="s">
        <v>1771</v>
      </c>
    </row>
    <row r="590" customFormat="false" ht="15" hidden="false" customHeight="false" outlineLevel="0" collapsed="false">
      <c r="A590" s="3" t="s">
        <v>2260</v>
      </c>
      <c r="B590" s="3" t="s">
        <v>448</v>
      </c>
      <c r="C590" s="4" t="s">
        <v>15</v>
      </c>
      <c r="D590" s="3" t="s">
        <v>2261</v>
      </c>
      <c r="E590" s="3" t="s">
        <v>2262</v>
      </c>
      <c r="F590" s="3" t="s">
        <v>1685</v>
      </c>
      <c r="G590" s="11" t="n">
        <v>2026</v>
      </c>
      <c r="H590" s="3" t="s">
        <v>2263</v>
      </c>
      <c r="I590" s="3" t="s">
        <v>2264</v>
      </c>
      <c r="J590" s="4" t="s">
        <v>1875</v>
      </c>
      <c r="K590" s="6" t="s">
        <v>22</v>
      </c>
      <c r="L590" s="3"/>
      <c r="M590" s="4" t="s">
        <v>1771</v>
      </c>
    </row>
    <row r="591" customFormat="false" ht="15" hidden="false" customHeight="false" outlineLevel="0" collapsed="false">
      <c r="A591" s="7" t="s">
        <v>2265</v>
      </c>
      <c r="B591" s="7" t="s">
        <v>448</v>
      </c>
      <c r="C591" s="8" t="s">
        <v>25</v>
      </c>
      <c r="D591" s="7" t="s">
        <v>2266</v>
      </c>
      <c r="E591" s="7" t="s">
        <v>2267</v>
      </c>
      <c r="F591" s="7" t="s">
        <v>1691</v>
      </c>
      <c r="G591" s="10" t="n">
        <v>2026</v>
      </c>
      <c r="H591" s="7" t="s">
        <v>2268</v>
      </c>
      <c r="I591" s="7" t="s">
        <v>2264</v>
      </c>
      <c r="J591" s="8" t="s">
        <v>1875</v>
      </c>
      <c r="K591" s="6" t="s">
        <v>22</v>
      </c>
      <c r="L591" s="7"/>
      <c r="M591" s="8" t="s">
        <v>1771</v>
      </c>
    </row>
    <row r="592" customFormat="false" ht="15" hidden="false" customHeight="false" outlineLevel="0" collapsed="false">
      <c r="A592" s="3" t="s">
        <v>2269</v>
      </c>
      <c r="B592" s="3" t="s">
        <v>448</v>
      </c>
      <c r="C592" s="4" t="s">
        <v>31</v>
      </c>
      <c r="D592" s="3" t="s">
        <v>2270</v>
      </c>
      <c r="E592" s="3" t="s">
        <v>2271</v>
      </c>
      <c r="F592" s="3" t="s">
        <v>1696</v>
      </c>
      <c r="G592" s="11" t="n">
        <v>2026</v>
      </c>
      <c r="H592" s="3" t="s">
        <v>2272</v>
      </c>
      <c r="I592" s="3" t="s">
        <v>2264</v>
      </c>
      <c r="J592" s="4" t="s">
        <v>1875</v>
      </c>
      <c r="K592" s="6" t="s">
        <v>22</v>
      </c>
      <c r="L592" s="3"/>
      <c r="M592" s="4" t="s">
        <v>1771</v>
      </c>
    </row>
    <row r="593" customFormat="false" ht="15" hidden="false" customHeight="false" outlineLevel="0" collapsed="false">
      <c r="A593" s="7" t="s">
        <v>2273</v>
      </c>
      <c r="B593" s="7" t="s">
        <v>14</v>
      </c>
      <c r="C593" s="8" t="s">
        <v>15</v>
      </c>
      <c r="D593" s="7" t="s">
        <v>2274</v>
      </c>
      <c r="E593" s="7" t="s">
        <v>2275</v>
      </c>
      <c r="F593" s="7" t="s">
        <v>18</v>
      </c>
      <c r="G593" s="9"/>
      <c r="H593" s="7" t="s">
        <v>2276</v>
      </c>
      <c r="I593" s="7" t="s">
        <v>2277</v>
      </c>
      <c r="J593" s="8" t="s">
        <v>1875</v>
      </c>
      <c r="K593" s="6" t="s">
        <v>22</v>
      </c>
      <c r="L593" s="7"/>
      <c r="M593" s="8" t="s">
        <v>1771</v>
      </c>
    </row>
    <row r="594" customFormat="false" ht="15" hidden="false" customHeight="false" outlineLevel="0" collapsed="false">
      <c r="A594" s="3" t="s">
        <v>2278</v>
      </c>
      <c r="B594" s="3" t="s">
        <v>14</v>
      </c>
      <c r="C594" s="4" t="s">
        <v>25</v>
      </c>
      <c r="D594" s="3" t="s">
        <v>2279</v>
      </c>
      <c r="E594" s="3" t="s">
        <v>2280</v>
      </c>
      <c r="F594" s="3" t="s">
        <v>28</v>
      </c>
      <c r="G594" s="5"/>
      <c r="H594" s="3" t="s">
        <v>2281</v>
      </c>
      <c r="I594" s="3" t="s">
        <v>2277</v>
      </c>
      <c r="J594" s="4" t="s">
        <v>1875</v>
      </c>
      <c r="K594" s="6" t="s">
        <v>22</v>
      </c>
      <c r="L594" s="3"/>
      <c r="M594" s="4" t="s">
        <v>1771</v>
      </c>
    </row>
    <row r="595" customFormat="false" ht="15" hidden="false" customHeight="false" outlineLevel="0" collapsed="false">
      <c r="A595" s="7" t="s">
        <v>2282</v>
      </c>
      <c r="B595" s="7" t="s">
        <v>14</v>
      </c>
      <c r="C595" s="8" t="s">
        <v>31</v>
      </c>
      <c r="D595" s="7" t="s">
        <v>2283</v>
      </c>
      <c r="E595" s="7" t="s">
        <v>2284</v>
      </c>
      <c r="F595" s="7" t="s">
        <v>34</v>
      </c>
      <c r="G595" s="9"/>
      <c r="H595" s="7" t="s">
        <v>2285</v>
      </c>
      <c r="I595" s="7" t="s">
        <v>2277</v>
      </c>
      <c r="J595" s="8" t="s">
        <v>1875</v>
      </c>
      <c r="K595" s="6" t="s">
        <v>22</v>
      </c>
      <c r="L595" s="7"/>
      <c r="M595" s="8" t="s">
        <v>1771</v>
      </c>
    </row>
    <row r="596" customFormat="false" ht="15" hidden="false" customHeight="false" outlineLevel="0" collapsed="false">
      <c r="A596" s="3" t="s">
        <v>2286</v>
      </c>
      <c r="B596" s="3" t="s">
        <v>91</v>
      </c>
      <c r="C596" s="4" t="s">
        <v>15</v>
      </c>
      <c r="D596" s="3" t="s">
        <v>2287</v>
      </c>
      <c r="E596" s="3" t="s">
        <v>2288</v>
      </c>
      <c r="F596" s="3" t="s">
        <v>18</v>
      </c>
      <c r="G596" s="5"/>
      <c r="H596" s="3" t="s">
        <v>2289</v>
      </c>
      <c r="I596" s="3" t="s">
        <v>2290</v>
      </c>
      <c r="J596" s="4" t="s">
        <v>1875</v>
      </c>
      <c r="K596" s="6" t="s">
        <v>22</v>
      </c>
      <c r="L596" s="3"/>
      <c r="M596" s="4" t="s">
        <v>1771</v>
      </c>
    </row>
    <row r="597" customFormat="false" ht="15" hidden="false" customHeight="false" outlineLevel="0" collapsed="false">
      <c r="A597" s="7" t="s">
        <v>2291</v>
      </c>
      <c r="B597" s="7" t="s">
        <v>91</v>
      </c>
      <c r="C597" s="8" t="s">
        <v>25</v>
      </c>
      <c r="D597" s="7" t="s">
        <v>2292</v>
      </c>
      <c r="E597" s="7" t="s">
        <v>2293</v>
      </c>
      <c r="F597" s="7" t="s">
        <v>28</v>
      </c>
      <c r="G597" s="9"/>
      <c r="H597" s="7" t="s">
        <v>2294</v>
      </c>
      <c r="I597" s="7" t="s">
        <v>2290</v>
      </c>
      <c r="J597" s="8" t="s">
        <v>1875</v>
      </c>
      <c r="K597" s="6" t="s">
        <v>22</v>
      </c>
      <c r="L597" s="7"/>
      <c r="M597" s="8" t="s">
        <v>1771</v>
      </c>
    </row>
    <row r="598" customFormat="false" ht="15" hidden="false" customHeight="false" outlineLevel="0" collapsed="false">
      <c r="A598" s="3" t="s">
        <v>2295</v>
      </c>
      <c r="B598" s="3" t="s">
        <v>91</v>
      </c>
      <c r="C598" s="4" t="s">
        <v>31</v>
      </c>
      <c r="D598" s="3" t="s">
        <v>2296</v>
      </c>
      <c r="E598" s="3" t="s">
        <v>2297</v>
      </c>
      <c r="F598" s="3" t="s">
        <v>34</v>
      </c>
      <c r="G598" s="5"/>
      <c r="H598" s="3" t="s">
        <v>2298</v>
      </c>
      <c r="I598" s="3" t="s">
        <v>2290</v>
      </c>
      <c r="J598" s="4" t="s">
        <v>1875</v>
      </c>
      <c r="K598" s="6" t="s">
        <v>22</v>
      </c>
      <c r="L598" s="3"/>
      <c r="M598" s="4" t="s">
        <v>1771</v>
      </c>
    </row>
    <row r="599" customFormat="false" ht="15" hidden="false" customHeight="false" outlineLevel="0" collapsed="false">
      <c r="A599" s="7" t="s">
        <v>2299</v>
      </c>
      <c r="B599" s="7" t="s">
        <v>91</v>
      </c>
      <c r="C599" s="8" t="s">
        <v>15</v>
      </c>
      <c r="D599" s="7" t="s">
        <v>2300</v>
      </c>
      <c r="E599" s="7" t="s">
        <v>2301</v>
      </c>
      <c r="F599" s="7" t="s">
        <v>18</v>
      </c>
      <c r="G599" s="10" t="n">
        <v>2026</v>
      </c>
      <c r="H599" s="7" t="s">
        <v>2302</v>
      </c>
      <c r="I599" s="7" t="s">
        <v>2303</v>
      </c>
      <c r="J599" s="8" t="s">
        <v>1875</v>
      </c>
      <c r="K599" s="6" t="s">
        <v>22</v>
      </c>
      <c r="L599" s="7"/>
      <c r="M599" s="8" t="s">
        <v>1771</v>
      </c>
    </row>
    <row r="600" customFormat="false" ht="15" hidden="false" customHeight="false" outlineLevel="0" collapsed="false">
      <c r="A600" s="3" t="s">
        <v>2304</v>
      </c>
      <c r="B600" s="3" t="s">
        <v>91</v>
      </c>
      <c r="C600" s="4" t="s">
        <v>25</v>
      </c>
      <c r="D600" s="3" t="s">
        <v>2305</v>
      </c>
      <c r="E600" s="3" t="s">
        <v>2306</v>
      </c>
      <c r="F600" s="3" t="s">
        <v>28</v>
      </c>
      <c r="G600" s="11" t="n">
        <v>2026</v>
      </c>
      <c r="H600" s="3" t="s">
        <v>2307</v>
      </c>
      <c r="I600" s="3" t="s">
        <v>2303</v>
      </c>
      <c r="J600" s="4" t="s">
        <v>1875</v>
      </c>
      <c r="K600" s="6" t="s">
        <v>22</v>
      </c>
      <c r="L600" s="3"/>
      <c r="M600" s="4" t="s">
        <v>1771</v>
      </c>
    </row>
    <row r="601" customFormat="false" ht="15" hidden="false" customHeight="false" outlineLevel="0" collapsed="false">
      <c r="A601" s="7" t="s">
        <v>2308</v>
      </c>
      <c r="B601" s="7" t="s">
        <v>91</v>
      </c>
      <c r="C601" s="8" t="s">
        <v>31</v>
      </c>
      <c r="D601" s="7" t="s">
        <v>2309</v>
      </c>
      <c r="E601" s="7" t="s">
        <v>2310</v>
      </c>
      <c r="F601" s="7" t="s">
        <v>34</v>
      </c>
      <c r="G601" s="10" t="n">
        <v>2026</v>
      </c>
      <c r="H601" s="7" t="s">
        <v>2311</v>
      </c>
      <c r="I601" s="7" t="s">
        <v>2303</v>
      </c>
      <c r="J601" s="8" t="s">
        <v>1875</v>
      </c>
      <c r="K601" s="6" t="s">
        <v>22</v>
      </c>
      <c r="L601" s="7"/>
      <c r="M601" s="8" t="s">
        <v>1771</v>
      </c>
    </row>
    <row r="602" customFormat="false" ht="15" hidden="false" customHeight="false" outlineLevel="0" collapsed="false">
      <c r="A602" s="3" t="s">
        <v>2312</v>
      </c>
      <c r="B602" s="3" t="s">
        <v>620</v>
      </c>
      <c r="C602" s="4" t="s">
        <v>15</v>
      </c>
      <c r="D602" s="3" t="s">
        <v>2313</v>
      </c>
      <c r="E602" s="3" t="s">
        <v>2314</v>
      </c>
      <c r="F602" s="3" t="s">
        <v>18</v>
      </c>
      <c r="G602" s="11" t="n">
        <v>2026</v>
      </c>
      <c r="H602" s="3" t="s">
        <v>2315</v>
      </c>
      <c r="I602" s="3" t="s">
        <v>2316</v>
      </c>
      <c r="J602" s="4" t="s">
        <v>1875</v>
      </c>
      <c r="K602" s="6" t="s">
        <v>22</v>
      </c>
      <c r="L602" s="3" t="s">
        <v>681</v>
      </c>
      <c r="M602" s="4" t="s">
        <v>1771</v>
      </c>
    </row>
    <row r="603" customFormat="false" ht="15" hidden="false" customHeight="false" outlineLevel="0" collapsed="false">
      <c r="A603" s="7" t="s">
        <v>2317</v>
      </c>
      <c r="B603" s="7" t="s">
        <v>620</v>
      </c>
      <c r="C603" s="8" t="s">
        <v>25</v>
      </c>
      <c r="D603" s="7" t="s">
        <v>2318</v>
      </c>
      <c r="E603" s="7" t="s">
        <v>2319</v>
      </c>
      <c r="F603" s="7" t="s">
        <v>28</v>
      </c>
      <c r="G603" s="10" t="n">
        <v>2026</v>
      </c>
      <c r="H603" s="7" t="s">
        <v>2320</v>
      </c>
      <c r="I603" s="7" t="s">
        <v>2316</v>
      </c>
      <c r="J603" s="8" t="s">
        <v>1875</v>
      </c>
      <c r="K603" s="6" t="s">
        <v>22</v>
      </c>
      <c r="L603" s="7" t="s">
        <v>687</v>
      </c>
      <c r="M603" s="8" t="s">
        <v>1771</v>
      </c>
    </row>
    <row r="604" customFormat="false" ht="15" hidden="false" customHeight="false" outlineLevel="0" collapsed="false">
      <c r="A604" s="3" t="s">
        <v>2321</v>
      </c>
      <c r="B604" s="3" t="s">
        <v>620</v>
      </c>
      <c r="C604" s="4" t="s">
        <v>31</v>
      </c>
      <c r="D604" s="3" t="s">
        <v>2322</v>
      </c>
      <c r="E604" s="3" t="s">
        <v>2323</v>
      </c>
      <c r="F604" s="3" t="s">
        <v>34</v>
      </c>
      <c r="G604" s="11" t="n">
        <v>2026</v>
      </c>
      <c r="H604" s="3" t="s">
        <v>2324</v>
      </c>
      <c r="I604" s="3" t="s">
        <v>2316</v>
      </c>
      <c r="J604" s="4" t="s">
        <v>1875</v>
      </c>
      <c r="K604" s="6" t="s">
        <v>22</v>
      </c>
      <c r="L604" s="3" t="s">
        <v>692</v>
      </c>
      <c r="M604" s="4" t="s">
        <v>1771</v>
      </c>
    </row>
    <row r="605" customFormat="false" ht="15" hidden="false" customHeight="false" outlineLevel="0" collapsed="false">
      <c r="A605" s="7" t="s">
        <v>2325</v>
      </c>
      <c r="B605" s="7" t="s">
        <v>758</v>
      </c>
      <c r="C605" s="8" t="s">
        <v>15</v>
      </c>
      <c r="D605" s="7" t="s">
        <v>2326</v>
      </c>
      <c r="E605" s="7" t="s">
        <v>2327</v>
      </c>
      <c r="F605" s="7" t="s">
        <v>18</v>
      </c>
      <c r="G605" s="9"/>
      <c r="H605" s="7" t="s">
        <v>2328</v>
      </c>
      <c r="I605" s="7" t="s">
        <v>2329</v>
      </c>
      <c r="J605" s="8" t="s">
        <v>1875</v>
      </c>
      <c r="K605" s="6" t="s">
        <v>22</v>
      </c>
      <c r="L605" s="7" t="s">
        <v>1624</v>
      </c>
      <c r="M605" s="8" t="s">
        <v>1771</v>
      </c>
    </row>
    <row r="606" customFormat="false" ht="15" hidden="false" customHeight="false" outlineLevel="0" collapsed="false">
      <c r="A606" s="3" t="s">
        <v>2330</v>
      </c>
      <c r="B606" s="3" t="s">
        <v>758</v>
      </c>
      <c r="C606" s="4" t="s">
        <v>25</v>
      </c>
      <c r="D606" s="3" t="s">
        <v>2331</v>
      </c>
      <c r="E606" s="3" t="s">
        <v>2332</v>
      </c>
      <c r="F606" s="3" t="s">
        <v>28</v>
      </c>
      <c r="G606" s="5"/>
      <c r="H606" s="3" t="s">
        <v>2333</v>
      </c>
      <c r="I606" s="3" t="s">
        <v>2329</v>
      </c>
      <c r="J606" s="4" t="s">
        <v>1875</v>
      </c>
      <c r="K606" s="6" t="s">
        <v>22</v>
      </c>
      <c r="L606" s="3" t="s">
        <v>1630</v>
      </c>
      <c r="M606" s="4" t="s">
        <v>1771</v>
      </c>
    </row>
    <row r="607" customFormat="false" ht="15" hidden="false" customHeight="false" outlineLevel="0" collapsed="false">
      <c r="A607" s="7" t="s">
        <v>2334</v>
      </c>
      <c r="B607" s="7" t="s">
        <v>758</v>
      </c>
      <c r="C607" s="8" t="s">
        <v>31</v>
      </c>
      <c r="D607" s="7" t="s">
        <v>2335</v>
      </c>
      <c r="E607" s="7" t="s">
        <v>2336</v>
      </c>
      <c r="F607" s="7" t="s">
        <v>34</v>
      </c>
      <c r="G607" s="9"/>
      <c r="H607" s="7" t="s">
        <v>2337</v>
      </c>
      <c r="I607" s="7" t="s">
        <v>2329</v>
      </c>
      <c r="J607" s="8" t="s">
        <v>1875</v>
      </c>
      <c r="K607" s="6" t="s">
        <v>22</v>
      </c>
      <c r="L607" s="7" t="s">
        <v>1635</v>
      </c>
      <c r="M607" s="8" t="s">
        <v>1771</v>
      </c>
    </row>
    <row r="608" customFormat="false" ht="15" hidden="false" customHeight="false" outlineLevel="0" collapsed="false">
      <c r="A608" s="3" t="s">
        <v>2338</v>
      </c>
      <c r="B608" s="3" t="s">
        <v>1060</v>
      </c>
      <c r="C608" s="4" t="s">
        <v>15</v>
      </c>
      <c r="D608" s="3" t="s">
        <v>2339</v>
      </c>
      <c r="E608" s="3" t="s">
        <v>2340</v>
      </c>
      <c r="F608" s="3" t="s">
        <v>18</v>
      </c>
      <c r="G608" s="5"/>
      <c r="H608" s="3" t="s">
        <v>2341</v>
      </c>
      <c r="I608" s="3" t="s">
        <v>2342</v>
      </c>
      <c r="J608" s="4" t="s">
        <v>1875</v>
      </c>
      <c r="K608" s="6" t="s">
        <v>22</v>
      </c>
      <c r="L608" s="3" t="s">
        <v>1063</v>
      </c>
      <c r="M608" s="4" t="s">
        <v>1771</v>
      </c>
    </row>
    <row r="609" customFormat="false" ht="15" hidden="false" customHeight="false" outlineLevel="0" collapsed="false">
      <c r="A609" s="7" t="s">
        <v>2343</v>
      </c>
      <c r="B609" s="7" t="s">
        <v>1060</v>
      </c>
      <c r="C609" s="8" t="s">
        <v>25</v>
      </c>
      <c r="D609" s="7" t="s">
        <v>2344</v>
      </c>
      <c r="E609" s="7" t="s">
        <v>2345</v>
      </c>
      <c r="F609" s="7" t="s">
        <v>28</v>
      </c>
      <c r="G609" s="9"/>
      <c r="H609" s="7" t="s">
        <v>2346</v>
      </c>
      <c r="I609" s="7" t="s">
        <v>2342</v>
      </c>
      <c r="J609" s="8" t="s">
        <v>1875</v>
      </c>
      <c r="K609" s="6" t="s">
        <v>22</v>
      </c>
      <c r="L609" s="7" t="s">
        <v>1068</v>
      </c>
      <c r="M609" s="8" t="s">
        <v>1771</v>
      </c>
    </row>
    <row r="610" customFormat="false" ht="15" hidden="false" customHeight="false" outlineLevel="0" collapsed="false">
      <c r="A610" s="3" t="s">
        <v>2347</v>
      </c>
      <c r="B610" s="3" t="s">
        <v>1060</v>
      </c>
      <c r="C610" s="4" t="s">
        <v>31</v>
      </c>
      <c r="D610" s="3" t="s">
        <v>2348</v>
      </c>
      <c r="E610" s="3" t="s">
        <v>2349</v>
      </c>
      <c r="F610" s="3" t="s">
        <v>34</v>
      </c>
      <c r="G610" s="5"/>
      <c r="H610" s="3" t="s">
        <v>2350</v>
      </c>
      <c r="I610" s="3" t="s">
        <v>2342</v>
      </c>
      <c r="J610" s="4" t="s">
        <v>1875</v>
      </c>
      <c r="K610" s="6" t="s">
        <v>22</v>
      </c>
      <c r="L610" s="3" t="s">
        <v>1072</v>
      </c>
      <c r="M610" s="4" t="s">
        <v>1771</v>
      </c>
    </row>
    <row r="611" customFormat="false" ht="15" hidden="false" customHeight="false" outlineLevel="0" collapsed="false">
      <c r="A611" s="7" t="s">
        <v>2351</v>
      </c>
      <c r="B611" s="7" t="s">
        <v>620</v>
      </c>
      <c r="C611" s="8" t="s">
        <v>15</v>
      </c>
      <c r="D611" s="7" t="s">
        <v>2352</v>
      </c>
      <c r="E611" s="7" t="s">
        <v>2353</v>
      </c>
      <c r="F611" s="7" t="s">
        <v>18</v>
      </c>
      <c r="G611" s="10" t="n">
        <v>2026</v>
      </c>
      <c r="H611" s="7" t="s">
        <v>2354</v>
      </c>
      <c r="I611" s="7" t="s">
        <v>2355</v>
      </c>
      <c r="J611" s="8" t="s">
        <v>1875</v>
      </c>
      <c r="K611" s="6" t="s">
        <v>22</v>
      </c>
      <c r="L611" s="7" t="s">
        <v>681</v>
      </c>
      <c r="M611" s="8" t="s">
        <v>1771</v>
      </c>
    </row>
    <row r="612" customFormat="false" ht="15" hidden="false" customHeight="false" outlineLevel="0" collapsed="false">
      <c r="A612" s="3" t="s">
        <v>2356</v>
      </c>
      <c r="B612" s="3" t="s">
        <v>620</v>
      </c>
      <c r="C612" s="4" t="s">
        <v>25</v>
      </c>
      <c r="D612" s="3" t="s">
        <v>2357</v>
      </c>
      <c r="E612" s="3" t="s">
        <v>2358</v>
      </c>
      <c r="F612" s="3" t="s">
        <v>28</v>
      </c>
      <c r="G612" s="11" t="n">
        <v>2026</v>
      </c>
      <c r="H612" s="3" t="s">
        <v>2359</v>
      </c>
      <c r="I612" s="3" t="s">
        <v>2355</v>
      </c>
      <c r="J612" s="4" t="s">
        <v>1875</v>
      </c>
      <c r="K612" s="6" t="s">
        <v>22</v>
      </c>
      <c r="L612" s="3" t="s">
        <v>687</v>
      </c>
      <c r="M612" s="4" t="s">
        <v>1771</v>
      </c>
    </row>
    <row r="613" customFormat="false" ht="15" hidden="false" customHeight="false" outlineLevel="0" collapsed="false">
      <c r="A613" s="7" t="s">
        <v>2360</v>
      </c>
      <c r="B613" s="7" t="s">
        <v>620</v>
      </c>
      <c r="C613" s="8" t="s">
        <v>31</v>
      </c>
      <c r="D613" s="7" t="s">
        <v>2361</v>
      </c>
      <c r="E613" s="7" t="s">
        <v>2362</v>
      </c>
      <c r="F613" s="7" t="s">
        <v>34</v>
      </c>
      <c r="G613" s="10" t="n">
        <v>2026</v>
      </c>
      <c r="H613" s="7" t="s">
        <v>2363</v>
      </c>
      <c r="I613" s="7" t="s">
        <v>2355</v>
      </c>
      <c r="J613" s="8" t="s">
        <v>1875</v>
      </c>
      <c r="K613" s="6" t="s">
        <v>22</v>
      </c>
      <c r="L613" s="7" t="s">
        <v>692</v>
      </c>
      <c r="M613" s="8" t="s">
        <v>1771</v>
      </c>
    </row>
    <row r="614" customFormat="false" ht="15" hidden="false" customHeight="false" outlineLevel="0" collapsed="false">
      <c r="A614" s="3" t="s">
        <v>2364</v>
      </c>
      <c r="B614" s="3" t="s">
        <v>448</v>
      </c>
      <c r="C614" s="4" t="s">
        <v>15</v>
      </c>
      <c r="D614" s="3" t="s">
        <v>2365</v>
      </c>
      <c r="E614" s="3" t="s">
        <v>2366</v>
      </c>
      <c r="F614" s="3" t="s">
        <v>18</v>
      </c>
      <c r="G614" s="11" t="n">
        <v>2026</v>
      </c>
      <c r="H614" s="3" t="s">
        <v>2367</v>
      </c>
      <c r="I614" s="3" t="s">
        <v>2368</v>
      </c>
      <c r="J614" s="4" t="s">
        <v>1875</v>
      </c>
      <c r="K614" s="6" t="s">
        <v>22</v>
      </c>
      <c r="L614" s="3"/>
      <c r="M614" s="4" t="s">
        <v>1771</v>
      </c>
    </row>
    <row r="615" customFormat="false" ht="15" hidden="false" customHeight="false" outlineLevel="0" collapsed="false">
      <c r="A615" s="7" t="s">
        <v>2369</v>
      </c>
      <c r="B615" s="7" t="s">
        <v>448</v>
      </c>
      <c r="C615" s="8" t="s">
        <v>25</v>
      </c>
      <c r="D615" s="7" t="s">
        <v>2370</v>
      </c>
      <c r="E615" s="7" t="s">
        <v>2371</v>
      </c>
      <c r="F615" s="7" t="s">
        <v>28</v>
      </c>
      <c r="G615" s="10" t="n">
        <v>2026</v>
      </c>
      <c r="H615" s="7" t="s">
        <v>2372</v>
      </c>
      <c r="I615" s="7" t="s">
        <v>2368</v>
      </c>
      <c r="J615" s="8" t="s">
        <v>1875</v>
      </c>
      <c r="K615" s="6" t="s">
        <v>22</v>
      </c>
      <c r="L615" s="7"/>
      <c r="M615" s="8" t="s">
        <v>1771</v>
      </c>
    </row>
    <row r="616" customFormat="false" ht="15" hidden="false" customHeight="false" outlineLevel="0" collapsed="false">
      <c r="A616" s="3" t="s">
        <v>2373</v>
      </c>
      <c r="B616" s="3" t="s">
        <v>448</v>
      </c>
      <c r="C616" s="4" t="s">
        <v>31</v>
      </c>
      <c r="D616" s="3" t="s">
        <v>2374</v>
      </c>
      <c r="E616" s="3" t="s">
        <v>2375</v>
      </c>
      <c r="F616" s="3" t="s">
        <v>34</v>
      </c>
      <c r="G616" s="11" t="n">
        <v>2026</v>
      </c>
      <c r="H616" s="3" t="s">
        <v>2376</v>
      </c>
      <c r="I616" s="3" t="s">
        <v>2368</v>
      </c>
      <c r="J616" s="4" t="s">
        <v>1875</v>
      </c>
      <c r="K616" s="6" t="s">
        <v>22</v>
      </c>
      <c r="L616" s="3"/>
      <c r="M616" s="4" t="s">
        <v>1771</v>
      </c>
    </row>
    <row r="617" customFormat="false" ht="15" hidden="false" customHeight="false" outlineLevel="0" collapsed="false">
      <c r="A617" s="7" t="s">
        <v>2377</v>
      </c>
      <c r="B617" s="7" t="s">
        <v>448</v>
      </c>
      <c r="C617" s="8" t="s">
        <v>15</v>
      </c>
      <c r="D617" s="7" t="s">
        <v>2378</v>
      </c>
      <c r="E617" s="7" t="s">
        <v>2379</v>
      </c>
      <c r="F617" s="7" t="s">
        <v>1685</v>
      </c>
      <c r="G617" s="10" t="n">
        <v>2026</v>
      </c>
      <c r="H617" s="7" t="s">
        <v>2380</v>
      </c>
      <c r="I617" s="7" t="s">
        <v>2381</v>
      </c>
      <c r="J617" s="8" t="s">
        <v>1875</v>
      </c>
      <c r="K617" s="6" t="s">
        <v>22</v>
      </c>
      <c r="L617" s="7" t="s">
        <v>1669</v>
      </c>
      <c r="M617" s="8" t="s">
        <v>1771</v>
      </c>
    </row>
    <row r="618" customFormat="false" ht="15" hidden="false" customHeight="false" outlineLevel="0" collapsed="false">
      <c r="A618" s="3" t="s">
        <v>2382</v>
      </c>
      <c r="B618" s="3" t="s">
        <v>448</v>
      </c>
      <c r="C618" s="4" t="s">
        <v>25</v>
      </c>
      <c r="D618" s="3" t="s">
        <v>2383</v>
      </c>
      <c r="E618" s="3" t="s">
        <v>2384</v>
      </c>
      <c r="F618" s="3" t="s">
        <v>1691</v>
      </c>
      <c r="G618" s="11" t="n">
        <v>2026</v>
      </c>
      <c r="H618" s="3" t="s">
        <v>2385</v>
      </c>
      <c r="I618" s="3" t="s">
        <v>2381</v>
      </c>
      <c r="J618" s="4" t="s">
        <v>1875</v>
      </c>
      <c r="K618" s="6" t="s">
        <v>22</v>
      </c>
      <c r="L618" s="3" t="s">
        <v>1675</v>
      </c>
      <c r="M618" s="4" t="s">
        <v>1771</v>
      </c>
    </row>
    <row r="619" customFormat="false" ht="15" hidden="false" customHeight="false" outlineLevel="0" collapsed="false">
      <c r="A619" s="7" t="s">
        <v>2386</v>
      </c>
      <c r="B619" s="7" t="s">
        <v>448</v>
      </c>
      <c r="C619" s="8" t="s">
        <v>31</v>
      </c>
      <c r="D619" s="7" t="s">
        <v>2387</v>
      </c>
      <c r="E619" s="7" t="s">
        <v>2388</v>
      </c>
      <c r="F619" s="7" t="s">
        <v>1696</v>
      </c>
      <c r="G619" s="10" t="n">
        <v>2026</v>
      </c>
      <c r="H619" s="7" t="s">
        <v>2389</v>
      </c>
      <c r="I619" s="7" t="s">
        <v>2381</v>
      </c>
      <c r="J619" s="8" t="s">
        <v>1875</v>
      </c>
      <c r="K619" s="6" t="s">
        <v>22</v>
      </c>
      <c r="L619" s="7" t="s">
        <v>1680</v>
      </c>
      <c r="M619" s="8" t="s">
        <v>1771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12"/>
    <col collapsed="false" customWidth="true" hidden="false" outlineLevel="0" max="4" min="4" style="0" width="44"/>
    <col collapsed="false" customWidth="true" hidden="false" outlineLevel="0" max="5" min="5" style="0" width="45"/>
    <col collapsed="false" customWidth="true" hidden="false" outlineLevel="0" max="6" min="6" style="0" width="44"/>
    <col collapsed="false" customWidth="true" hidden="false" outlineLevel="0" max="7" min="7" style="0" width="12"/>
    <col collapsed="false" customWidth="true" hidden="false" outlineLevel="0" max="8" min="8" style="0" width="44"/>
    <col collapsed="false" customWidth="true" hidden="false" outlineLevel="0" max="9" min="9" style="0" width="28"/>
    <col collapsed="false" customWidth="true" hidden="false" outlineLevel="0" max="10" min="10" style="0" width="18"/>
    <col collapsed="false" customWidth="true" hidden="false" outlineLevel="0" max="11" min="11" style="0" width="20"/>
    <col collapsed="false" customWidth="true" hidden="false" outlineLevel="0" max="12" min="12" style="0" width="38"/>
    <col collapsed="false" customWidth="true" hidden="false" outlineLevel="0" max="13" min="13" style="0" width="16"/>
  </cols>
  <sheetData>
    <row r="1" customFormat="false" ht="24" hidden="false" customHeight="true" outlineLevel="0" collapsed="false">
      <c r="A1" s="1" t="s">
        <v>0</v>
      </c>
      <c r="B1" s="1" t="s">
        <v>1</v>
      </c>
      <c r="C1" s="2" t="s">
        <v>2</v>
      </c>
      <c r="D1" s="1" t="s">
        <v>3</v>
      </c>
      <c r="E1" s="1" t="s">
        <v>4</v>
      </c>
      <c r="F1" s="1" t="s">
        <v>5</v>
      </c>
      <c r="G1" s="2" t="s">
        <v>6</v>
      </c>
      <c r="H1" s="1" t="s">
        <v>7</v>
      </c>
      <c r="I1" s="1" t="s">
        <v>8</v>
      </c>
      <c r="J1" s="2" t="s">
        <v>9</v>
      </c>
      <c r="K1" s="2" t="s">
        <v>10</v>
      </c>
      <c r="L1" s="1" t="s">
        <v>11</v>
      </c>
      <c r="M1" s="2" t="s">
        <v>12</v>
      </c>
    </row>
    <row r="2" customFormat="false" ht="15" hidden="false" customHeight="false" outlineLevel="0" collapsed="false">
      <c r="A2" s="3" t="s">
        <v>30</v>
      </c>
      <c r="B2" s="3" t="s">
        <v>14</v>
      </c>
      <c r="C2" s="4" t="s">
        <v>31</v>
      </c>
      <c r="D2" s="3" t="s">
        <v>32</v>
      </c>
      <c r="E2" s="3" t="s">
        <v>33</v>
      </c>
      <c r="F2" s="3" t="s">
        <v>34</v>
      </c>
      <c r="G2" s="5"/>
      <c r="H2" s="3" t="s">
        <v>35</v>
      </c>
      <c r="I2" s="3" t="s">
        <v>20</v>
      </c>
      <c r="J2" s="4" t="s">
        <v>21</v>
      </c>
      <c r="K2" s="6" t="s">
        <v>22</v>
      </c>
      <c r="L2" s="3"/>
      <c r="M2" s="4" t="s">
        <v>23</v>
      </c>
    </row>
    <row r="3" customFormat="false" ht="15" hidden="false" customHeight="false" outlineLevel="0" collapsed="false">
      <c r="A3" s="7" t="s">
        <v>43</v>
      </c>
      <c r="B3" s="7" t="s">
        <v>14</v>
      </c>
      <c r="C3" s="8" t="s">
        <v>31</v>
      </c>
      <c r="D3" s="7" t="s">
        <v>44</v>
      </c>
      <c r="E3" s="7" t="s">
        <v>45</v>
      </c>
      <c r="F3" s="7" t="s">
        <v>34</v>
      </c>
      <c r="G3" s="9"/>
      <c r="H3" s="7" t="s">
        <v>35</v>
      </c>
      <c r="I3" s="7" t="s">
        <v>39</v>
      </c>
      <c r="J3" s="8" t="s">
        <v>21</v>
      </c>
      <c r="K3" s="6" t="s">
        <v>22</v>
      </c>
      <c r="L3" s="7"/>
      <c r="M3" s="8" t="s">
        <v>23</v>
      </c>
    </row>
    <row r="4" customFormat="false" ht="15" hidden="false" customHeight="false" outlineLevel="0" collapsed="false">
      <c r="A4" s="3" t="s">
        <v>53</v>
      </c>
      <c r="B4" s="3" t="s">
        <v>14</v>
      </c>
      <c r="C4" s="4" t="s">
        <v>31</v>
      </c>
      <c r="D4" s="3" t="s">
        <v>54</v>
      </c>
      <c r="E4" s="3" t="s">
        <v>55</v>
      </c>
      <c r="F4" s="3" t="s">
        <v>34</v>
      </c>
      <c r="G4" s="5"/>
      <c r="H4" s="3" t="s">
        <v>35</v>
      </c>
      <c r="I4" s="3" t="s">
        <v>49</v>
      </c>
      <c r="J4" s="4" t="s">
        <v>21</v>
      </c>
      <c r="K4" s="6" t="s">
        <v>22</v>
      </c>
      <c r="L4" s="3"/>
      <c r="M4" s="4" t="s">
        <v>23</v>
      </c>
    </row>
    <row r="5" customFormat="false" ht="15" hidden="false" customHeight="false" outlineLevel="0" collapsed="false">
      <c r="A5" s="7" t="s">
        <v>63</v>
      </c>
      <c r="B5" s="7" t="s">
        <v>14</v>
      </c>
      <c r="C5" s="8" t="s">
        <v>31</v>
      </c>
      <c r="D5" s="7" t="s">
        <v>64</v>
      </c>
      <c r="E5" s="7" t="s">
        <v>65</v>
      </c>
      <c r="F5" s="7" t="s">
        <v>34</v>
      </c>
      <c r="G5" s="9"/>
      <c r="H5" s="7" t="s">
        <v>35</v>
      </c>
      <c r="I5" s="7" t="s">
        <v>59</v>
      </c>
      <c r="J5" s="8" t="s">
        <v>21</v>
      </c>
      <c r="K5" s="6" t="s">
        <v>22</v>
      </c>
      <c r="L5" s="7"/>
      <c r="M5" s="8" t="s">
        <v>23</v>
      </c>
    </row>
    <row r="6" customFormat="false" ht="15" hidden="false" customHeight="false" outlineLevel="0" collapsed="false">
      <c r="A6" s="3" t="s">
        <v>73</v>
      </c>
      <c r="B6" s="3" t="s">
        <v>14</v>
      </c>
      <c r="C6" s="4" t="s">
        <v>31</v>
      </c>
      <c r="D6" s="3" t="s">
        <v>74</v>
      </c>
      <c r="E6" s="3" t="s">
        <v>75</v>
      </c>
      <c r="F6" s="3" t="s">
        <v>34</v>
      </c>
      <c r="G6" s="5"/>
      <c r="H6" s="3" t="s">
        <v>35</v>
      </c>
      <c r="I6" s="3" t="s">
        <v>69</v>
      </c>
      <c r="J6" s="4" t="s">
        <v>21</v>
      </c>
      <c r="K6" s="6" t="s">
        <v>22</v>
      </c>
      <c r="L6" s="3"/>
      <c r="M6" s="4" t="s">
        <v>23</v>
      </c>
    </row>
    <row r="7" customFormat="false" ht="15" hidden="false" customHeight="false" outlineLevel="0" collapsed="false">
      <c r="A7" s="7" t="s">
        <v>86</v>
      </c>
      <c r="B7" s="7" t="s">
        <v>14</v>
      </c>
      <c r="C7" s="8" t="s">
        <v>31</v>
      </c>
      <c r="D7" s="7" t="s">
        <v>87</v>
      </c>
      <c r="E7" s="7" t="s">
        <v>88</v>
      </c>
      <c r="F7" s="7" t="s">
        <v>79</v>
      </c>
      <c r="G7" s="10" t="n">
        <v>2026</v>
      </c>
      <c r="H7" s="7" t="s">
        <v>89</v>
      </c>
      <c r="I7" s="7" t="s">
        <v>81</v>
      </c>
      <c r="J7" s="8" t="s">
        <v>21</v>
      </c>
      <c r="K7" s="6" t="s">
        <v>22</v>
      </c>
      <c r="L7" s="7"/>
      <c r="M7" s="8" t="s">
        <v>23</v>
      </c>
    </row>
    <row r="8" customFormat="false" ht="15" hidden="false" customHeight="false" outlineLevel="0" collapsed="false">
      <c r="A8" s="3" t="s">
        <v>101</v>
      </c>
      <c r="B8" s="3" t="s">
        <v>91</v>
      </c>
      <c r="C8" s="4" t="s">
        <v>31</v>
      </c>
      <c r="D8" s="3" t="s">
        <v>102</v>
      </c>
      <c r="E8" s="3" t="s">
        <v>103</v>
      </c>
      <c r="F8" s="3" t="s">
        <v>94</v>
      </c>
      <c r="G8" s="5"/>
      <c r="H8" s="3" t="s">
        <v>104</v>
      </c>
      <c r="I8" s="3" t="s">
        <v>96</v>
      </c>
      <c r="J8" s="4" t="s">
        <v>21</v>
      </c>
      <c r="K8" s="6" t="s">
        <v>22</v>
      </c>
      <c r="L8" s="3"/>
      <c r="M8" s="4" t="s">
        <v>23</v>
      </c>
    </row>
    <row r="9" customFormat="false" ht="15" hidden="false" customHeight="false" outlineLevel="0" collapsed="false">
      <c r="A9" s="7" t="s">
        <v>112</v>
      </c>
      <c r="B9" s="7" t="s">
        <v>91</v>
      </c>
      <c r="C9" s="8" t="s">
        <v>31</v>
      </c>
      <c r="D9" s="7" t="s">
        <v>113</v>
      </c>
      <c r="E9" s="7" t="s">
        <v>114</v>
      </c>
      <c r="F9" s="7" t="s">
        <v>94</v>
      </c>
      <c r="G9" s="9"/>
      <c r="H9" s="7" t="s">
        <v>104</v>
      </c>
      <c r="I9" s="7" t="s">
        <v>108</v>
      </c>
      <c r="J9" s="8" t="s">
        <v>21</v>
      </c>
      <c r="K9" s="6" t="s">
        <v>22</v>
      </c>
      <c r="L9" s="7"/>
      <c r="M9" s="8" t="s">
        <v>23</v>
      </c>
    </row>
    <row r="10" customFormat="false" ht="15" hidden="false" customHeight="false" outlineLevel="0" collapsed="false">
      <c r="A10" s="3" t="s">
        <v>122</v>
      </c>
      <c r="B10" s="3" t="s">
        <v>91</v>
      </c>
      <c r="C10" s="4" t="s">
        <v>31</v>
      </c>
      <c r="D10" s="3" t="s">
        <v>123</v>
      </c>
      <c r="E10" s="3" t="s">
        <v>124</v>
      </c>
      <c r="F10" s="3" t="s">
        <v>94</v>
      </c>
      <c r="G10" s="5"/>
      <c r="H10" s="3" t="s">
        <v>104</v>
      </c>
      <c r="I10" s="3" t="s">
        <v>118</v>
      </c>
      <c r="J10" s="4" t="s">
        <v>21</v>
      </c>
      <c r="K10" s="6" t="s">
        <v>22</v>
      </c>
      <c r="L10" s="3"/>
      <c r="M10" s="4" t="s">
        <v>23</v>
      </c>
    </row>
    <row r="11" customFormat="false" ht="15" hidden="false" customHeight="false" outlineLevel="0" collapsed="false">
      <c r="A11" s="7" t="s">
        <v>132</v>
      </c>
      <c r="B11" s="7" t="s">
        <v>91</v>
      </c>
      <c r="C11" s="8" t="s">
        <v>31</v>
      </c>
      <c r="D11" s="7" t="s">
        <v>133</v>
      </c>
      <c r="E11" s="7" t="s">
        <v>134</v>
      </c>
      <c r="F11" s="7" t="s">
        <v>94</v>
      </c>
      <c r="G11" s="9"/>
      <c r="H11" s="7" t="s">
        <v>104</v>
      </c>
      <c r="I11" s="7" t="s">
        <v>128</v>
      </c>
      <c r="J11" s="8" t="s">
        <v>21</v>
      </c>
      <c r="K11" s="6" t="s">
        <v>22</v>
      </c>
      <c r="L11" s="7"/>
      <c r="M11" s="8" t="s">
        <v>23</v>
      </c>
    </row>
    <row r="12" customFormat="false" ht="15" hidden="false" customHeight="false" outlineLevel="0" collapsed="false">
      <c r="A12" s="3" t="s">
        <v>142</v>
      </c>
      <c r="B12" s="3" t="s">
        <v>91</v>
      </c>
      <c r="C12" s="4" t="s">
        <v>31</v>
      </c>
      <c r="D12" s="3" t="s">
        <v>143</v>
      </c>
      <c r="E12" s="3" t="s">
        <v>144</v>
      </c>
      <c r="F12" s="3" t="s">
        <v>94</v>
      </c>
      <c r="G12" s="5"/>
      <c r="H12" s="3" t="s">
        <v>104</v>
      </c>
      <c r="I12" s="3" t="s">
        <v>138</v>
      </c>
      <c r="J12" s="4" t="s">
        <v>21</v>
      </c>
      <c r="K12" s="6" t="s">
        <v>22</v>
      </c>
      <c r="L12" s="3"/>
      <c r="M12" s="4" t="s">
        <v>23</v>
      </c>
    </row>
    <row r="13" customFormat="false" ht="15" hidden="false" customHeight="false" outlineLevel="0" collapsed="false">
      <c r="A13" s="7" t="s">
        <v>152</v>
      </c>
      <c r="B13" s="7" t="s">
        <v>91</v>
      </c>
      <c r="C13" s="8" t="s">
        <v>31</v>
      </c>
      <c r="D13" s="7" t="s">
        <v>153</v>
      </c>
      <c r="E13" s="7" t="s">
        <v>154</v>
      </c>
      <c r="F13" s="7" t="s">
        <v>94</v>
      </c>
      <c r="G13" s="9"/>
      <c r="H13" s="7" t="s">
        <v>104</v>
      </c>
      <c r="I13" s="7" t="s">
        <v>148</v>
      </c>
      <c r="J13" s="8" t="s">
        <v>21</v>
      </c>
      <c r="K13" s="6" t="s">
        <v>22</v>
      </c>
      <c r="L13" s="7"/>
      <c r="M13" s="8" t="s">
        <v>23</v>
      </c>
    </row>
    <row r="14" customFormat="false" ht="15" hidden="false" customHeight="false" outlineLevel="0" collapsed="false">
      <c r="A14" s="3" t="s">
        <v>162</v>
      </c>
      <c r="B14" s="3" t="s">
        <v>91</v>
      </c>
      <c r="C14" s="4" t="s">
        <v>31</v>
      </c>
      <c r="D14" s="3" t="s">
        <v>163</v>
      </c>
      <c r="E14" s="3" t="s">
        <v>164</v>
      </c>
      <c r="F14" s="3" t="s">
        <v>94</v>
      </c>
      <c r="G14" s="5"/>
      <c r="H14" s="3" t="s">
        <v>104</v>
      </c>
      <c r="I14" s="3" t="s">
        <v>158</v>
      </c>
      <c r="J14" s="4" t="s">
        <v>21</v>
      </c>
      <c r="K14" s="6" t="s">
        <v>22</v>
      </c>
      <c r="L14" s="3"/>
      <c r="M14" s="4" t="s">
        <v>23</v>
      </c>
    </row>
    <row r="15" customFormat="false" ht="15" hidden="false" customHeight="false" outlineLevel="0" collapsed="false">
      <c r="A15" s="7" t="s">
        <v>172</v>
      </c>
      <c r="B15" s="7" t="s">
        <v>91</v>
      </c>
      <c r="C15" s="8" t="s">
        <v>31</v>
      </c>
      <c r="D15" s="7" t="s">
        <v>173</v>
      </c>
      <c r="E15" s="7" t="s">
        <v>174</v>
      </c>
      <c r="F15" s="7" t="s">
        <v>94</v>
      </c>
      <c r="G15" s="9"/>
      <c r="H15" s="7" t="s">
        <v>104</v>
      </c>
      <c r="I15" s="7" t="s">
        <v>168</v>
      </c>
      <c r="J15" s="8" t="s">
        <v>21</v>
      </c>
      <c r="K15" s="6" t="s">
        <v>22</v>
      </c>
      <c r="L15" s="7"/>
      <c r="M15" s="8" t="s">
        <v>23</v>
      </c>
    </row>
    <row r="16" customFormat="false" ht="15" hidden="false" customHeight="false" outlineLevel="0" collapsed="false">
      <c r="A16" s="3" t="s">
        <v>182</v>
      </c>
      <c r="B16" s="3" t="s">
        <v>91</v>
      </c>
      <c r="C16" s="4" t="s">
        <v>31</v>
      </c>
      <c r="D16" s="3" t="s">
        <v>183</v>
      </c>
      <c r="E16" s="3" t="s">
        <v>184</v>
      </c>
      <c r="F16" s="3" t="s">
        <v>94</v>
      </c>
      <c r="G16" s="5"/>
      <c r="H16" s="3" t="s">
        <v>104</v>
      </c>
      <c r="I16" s="3" t="s">
        <v>178</v>
      </c>
      <c r="J16" s="4" t="s">
        <v>21</v>
      </c>
      <c r="K16" s="6" t="s">
        <v>22</v>
      </c>
      <c r="L16" s="3"/>
      <c r="M16" s="4" t="s">
        <v>23</v>
      </c>
    </row>
    <row r="17" customFormat="false" ht="15" hidden="false" customHeight="false" outlineLevel="0" collapsed="false">
      <c r="A17" s="7" t="s">
        <v>192</v>
      </c>
      <c r="B17" s="7" t="s">
        <v>91</v>
      </c>
      <c r="C17" s="8" t="s">
        <v>31</v>
      </c>
      <c r="D17" s="7" t="s">
        <v>193</v>
      </c>
      <c r="E17" s="7" t="s">
        <v>194</v>
      </c>
      <c r="F17" s="7" t="s">
        <v>94</v>
      </c>
      <c r="G17" s="9"/>
      <c r="H17" s="7" t="s">
        <v>104</v>
      </c>
      <c r="I17" s="7" t="s">
        <v>188</v>
      </c>
      <c r="J17" s="8" t="s">
        <v>21</v>
      </c>
      <c r="K17" s="6" t="s">
        <v>22</v>
      </c>
      <c r="L17" s="7"/>
      <c r="M17" s="8" t="s">
        <v>23</v>
      </c>
    </row>
    <row r="18" customFormat="false" ht="15" hidden="false" customHeight="false" outlineLevel="0" collapsed="false">
      <c r="A18" s="3" t="s">
        <v>202</v>
      </c>
      <c r="B18" s="3" t="s">
        <v>91</v>
      </c>
      <c r="C18" s="4" t="s">
        <v>31</v>
      </c>
      <c r="D18" s="3" t="s">
        <v>203</v>
      </c>
      <c r="E18" s="3" t="s">
        <v>204</v>
      </c>
      <c r="F18" s="3" t="s">
        <v>94</v>
      </c>
      <c r="G18" s="5"/>
      <c r="H18" s="3" t="s">
        <v>104</v>
      </c>
      <c r="I18" s="3" t="s">
        <v>198</v>
      </c>
      <c r="J18" s="4" t="s">
        <v>21</v>
      </c>
      <c r="K18" s="6" t="s">
        <v>22</v>
      </c>
      <c r="L18" s="3"/>
      <c r="M18" s="4" t="s">
        <v>23</v>
      </c>
    </row>
    <row r="19" customFormat="false" ht="15" hidden="false" customHeight="false" outlineLevel="0" collapsed="false">
      <c r="A19" s="7" t="s">
        <v>212</v>
      </c>
      <c r="B19" s="7" t="s">
        <v>91</v>
      </c>
      <c r="C19" s="8" t="s">
        <v>31</v>
      </c>
      <c r="D19" s="7" t="s">
        <v>213</v>
      </c>
      <c r="E19" s="7" t="s">
        <v>214</v>
      </c>
      <c r="F19" s="7" t="s">
        <v>94</v>
      </c>
      <c r="G19" s="9"/>
      <c r="H19" s="7" t="s">
        <v>104</v>
      </c>
      <c r="I19" s="7" t="s">
        <v>208</v>
      </c>
      <c r="J19" s="8" t="s">
        <v>21</v>
      </c>
      <c r="K19" s="6" t="s">
        <v>22</v>
      </c>
      <c r="L19" s="7"/>
      <c r="M19" s="8" t="s">
        <v>23</v>
      </c>
    </row>
    <row r="20" customFormat="false" ht="15" hidden="false" customHeight="false" outlineLevel="0" collapsed="false">
      <c r="A20" s="3" t="s">
        <v>222</v>
      </c>
      <c r="B20" s="3" t="s">
        <v>91</v>
      </c>
      <c r="C20" s="4" t="s">
        <v>31</v>
      </c>
      <c r="D20" s="3" t="s">
        <v>223</v>
      </c>
      <c r="E20" s="3" t="s">
        <v>224</v>
      </c>
      <c r="F20" s="3" t="s">
        <v>94</v>
      </c>
      <c r="G20" s="5"/>
      <c r="H20" s="3" t="s">
        <v>104</v>
      </c>
      <c r="I20" s="3" t="s">
        <v>218</v>
      </c>
      <c r="J20" s="4" t="s">
        <v>21</v>
      </c>
      <c r="K20" s="6" t="s">
        <v>22</v>
      </c>
      <c r="L20" s="3"/>
      <c r="M20" s="4" t="s">
        <v>23</v>
      </c>
    </row>
    <row r="21" customFormat="false" ht="15" hidden="false" customHeight="false" outlineLevel="0" collapsed="false">
      <c r="A21" s="7" t="s">
        <v>232</v>
      </c>
      <c r="B21" s="7" t="s">
        <v>91</v>
      </c>
      <c r="C21" s="8" t="s">
        <v>31</v>
      </c>
      <c r="D21" s="7" t="s">
        <v>233</v>
      </c>
      <c r="E21" s="7" t="s">
        <v>234</v>
      </c>
      <c r="F21" s="7" t="s">
        <v>94</v>
      </c>
      <c r="G21" s="9"/>
      <c r="H21" s="7" t="s">
        <v>104</v>
      </c>
      <c r="I21" s="7" t="s">
        <v>228</v>
      </c>
      <c r="J21" s="8" t="s">
        <v>21</v>
      </c>
      <c r="K21" s="6" t="s">
        <v>22</v>
      </c>
      <c r="L21" s="7"/>
      <c r="M21" s="8" t="s">
        <v>23</v>
      </c>
    </row>
    <row r="22" customFormat="false" ht="15" hidden="false" customHeight="false" outlineLevel="0" collapsed="false">
      <c r="A22" s="3" t="s">
        <v>242</v>
      </c>
      <c r="B22" s="3" t="s">
        <v>91</v>
      </c>
      <c r="C22" s="4" t="s">
        <v>31</v>
      </c>
      <c r="D22" s="3" t="s">
        <v>243</v>
      </c>
      <c r="E22" s="3" t="s">
        <v>244</v>
      </c>
      <c r="F22" s="3" t="s">
        <v>94</v>
      </c>
      <c r="G22" s="5"/>
      <c r="H22" s="3" t="s">
        <v>104</v>
      </c>
      <c r="I22" s="3" t="s">
        <v>238</v>
      </c>
      <c r="J22" s="4" t="s">
        <v>21</v>
      </c>
      <c r="K22" s="6" t="s">
        <v>22</v>
      </c>
      <c r="L22" s="3"/>
      <c r="M22" s="4" t="s">
        <v>23</v>
      </c>
    </row>
    <row r="23" customFormat="false" ht="15" hidden="false" customHeight="false" outlineLevel="0" collapsed="false">
      <c r="A23" s="7" t="s">
        <v>252</v>
      </c>
      <c r="B23" s="7" t="s">
        <v>91</v>
      </c>
      <c r="C23" s="8" t="s">
        <v>31</v>
      </c>
      <c r="D23" s="7" t="s">
        <v>253</v>
      </c>
      <c r="E23" s="7" t="s">
        <v>254</v>
      </c>
      <c r="F23" s="7" t="s">
        <v>94</v>
      </c>
      <c r="G23" s="9"/>
      <c r="H23" s="7" t="s">
        <v>104</v>
      </c>
      <c r="I23" s="7" t="s">
        <v>248</v>
      </c>
      <c r="J23" s="8" t="s">
        <v>21</v>
      </c>
      <c r="K23" s="6" t="s">
        <v>22</v>
      </c>
      <c r="L23" s="7"/>
      <c r="M23" s="8" t="s">
        <v>23</v>
      </c>
    </row>
    <row r="24" customFormat="false" ht="15" hidden="false" customHeight="false" outlineLevel="0" collapsed="false">
      <c r="A24" s="3" t="s">
        <v>262</v>
      </c>
      <c r="B24" s="3" t="s">
        <v>91</v>
      </c>
      <c r="C24" s="4" t="s">
        <v>31</v>
      </c>
      <c r="D24" s="3" t="s">
        <v>263</v>
      </c>
      <c r="E24" s="3" t="s">
        <v>264</v>
      </c>
      <c r="F24" s="3" t="s">
        <v>94</v>
      </c>
      <c r="G24" s="5"/>
      <c r="H24" s="3" t="s">
        <v>104</v>
      </c>
      <c r="I24" s="3" t="s">
        <v>258</v>
      </c>
      <c r="J24" s="4" t="s">
        <v>21</v>
      </c>
      <c r="K24" s="6" t="s">
        <v>22</v>
      </c>
      <c r="L24" s="3"/>
      <c r="M24" s="4" t="s">
        <v>23</v>
      </c>
    </row>
    <row r="25" customFormat="false" ht="15" hidden="false" customHeight="false" outlineLevel="0" collapsed="false">
      <c r="A25" s="7" t="s">
        <v>272</v>
      </c>
      <c r="B25" s="7" t="s">
        <v>91</v>
      </c>
      <c r="C25" s="8" t="s">
        <v>31</v>
      </c>
      <c r="D25" s="7" t="s">
        <v>273</v>
      </c>
      <c r="E25" s="7" t="s">
        <v>274</v>
      </c>
      <c r="F25" s="7" t="s">
        <v>94</v>
      </c>
      <c r="G25" s="9"/>
      <c r="H25" s="7" t="s">
        <v>104</v>
      </c>
      <c r="I25" s="7" t="s">
        <v>268</v>
      </c>
      <c r="J25" s="8" t="s">
        <v>21</v>
      </c>
      <c r="K25" s="6" t="s">
        <v>22</v>
      </c>
      <c r="L25" s="7"/>
      <c r="M25" s="8" t="s">
        <v>23</v>
      </c>
    </row>
    <row r="26" customFormat="false" ht="15" hidden="false" customHeight="false" outlineLevel="0" collapsed="false">
      <c r="A26" s="3" t="s">
        <v>284</v>
      </c>
      <c r="B26" s="3" t="s">
        <v>91</v>
      </c>
      <c r="C26" s="4" t="s">
        <v>31</v>
      </c>
      <c r="D26" s="3" t="s">
        <v>285</v>
      </c>
      <c r="E26" s="3" t="s">
        <v>286</v>
      </c>
      <c r="F26" s="3" t="s">
        <v>94</v>
      </c>
      <c r="G26" s="5"/>
      <c r="H26" s="3" t="s">
        <v>287</v>
      </c>
      <c r="I26" s="3" t="s">
        <v>279</v>
      </c>
      <c r="J26" s="4" t="s">
        <v>21</v>
      </c>
      <c r="K26" s="6" t="s">
        <v>22</v>
      </c>
      <c r="L26" s="3"/>
      <c r="M26" s="4" t="s">
        <v>23</v>
      </c>
    </row>
    <row r="27" customFormat="false" ht="15" hidden="false" customHeight="false" outlineLevel="0" collapsed="false">
      <c r="A27" s="7" t="s">
        <v>295</v>
      </c>
      <c r="B27" s="7" t="s">
        <v>91</v>
      </c>
      <c r="C27" s="8" t="s">
        <v>31</v>
      </c>
      <c r="D27" s="7" t="s">
        <v>296</v>
      </c>
      <c r="E27" s="7" t="s">
        <v>297</v>
      </c>
      <c r="F27" s="7" t="s">
        <v>94</v>
      </c>
      <c r="G27" s="9"/>
      <c r="H27" s="7" t="s">
        <v>287</v>
      </c>
      <c r="I27" s="7" t="s">
        <v>291</v>
      </c>
      <c r="J27" s="8" t="s">
        <v>21</v>
      </c>
      <c r="K27" s="6" t="s">
        <v>22</v>
      </c>
      <c r="L27" s="7"/>
      <c r="M27" s="8" t="s">
        <v>23</v>
      </c>
    </row>
    <row r="28" customFormat="false" ht="15" hidden="false" customHeight="false" outlineLevel="0" collapsed="false">
      <c r="A28" s="3" t="s">
        <v>306</v>
      </c>
      <c r="B28" s="3" t="s">
        <v>299</v>
      </c>
      <c r="C28" s="4" t="s">
        <v>31</v>
      </c>
      <c r="D28" s="3" t="s">
        <v>307</v>
      </c>
      <c r="E28" s="3" t="s">
        <v>308</v>
      </c>
      <c r="F28" s="3" t="s">
        <v>34</v>
      </c>
      <c r="G28" s="5"/>
      <c r="H28" s="3" t="s">
        <v>35</v>
      </c>
      <c r="I28" s="3" t="s">
        <v>302</v>
      </c>
      <c r="J28" s="4" t="s">
        <v>21</v>
      </c>
      <c r="K28" s="6" t="s">
        <v>22</v>
      </c>
      <c r="L28" s="3"/>
      <c r="M28" s="4" t="s">
        <v>23</v>
      </c>
    </row>
    <row r="29" customFormat="false" ht="15" hidden="false" customHeight="false" outlineLevel="0" collapsed="false">
      <c r="A29" s="7" t="s">
        <v>316</v>
      </c>
      <c r="B29" s="7" t="s">
        <v>299</v>
      </c>
      <c r="C29" s="8" t="s">
        <v>31</v>
      </c>
      <c r="D29" s="7" t="s">
        <v>317</v>
      </c>
      <c r="E29" s="7" t="s">
        <v>318</v>
      </c>
      <c r="F29" s="7" t="s">
        <v>34</v>
      </c>
      <c r="G29" s="9"/>
      <c r="H29" s="7" t="s">
        <v>35</v>
      </c>
      <c r="I29" s="7" t="s">
        <v>312</v>
      </c>
      <c r="J29" s="8" t="s">
        <v>21</v>
      </c>
      <c r="K29" s="6" t="s">
        <v>22</v>
      </c>
      <c r="L29" s="7"/>
      <c r="M29" s="8" t="s">
        <v>23</v>
      </c>
    </row>
    <row r="30" customFormat="false" ht="15" hidden="false" customHeight="false" outlineLevel="0" collapsed="false">
      <c r="A30" s="3" t="s">
        <v>326</v>
      </c>
      <c r="B30" s="3" t="s">
        <v>299</v>
      </c>
      <c r="C30" s="4" t="s">
        <v>31</v>
      </c>
      <c r="D30" s="3" t="s">
        <v>327</v>
      </c>
      <c r="E30" s="3" t="s">
        <v>328</v>
      </c>
      <c r="F30" s="3" t="s">
        <v>34</v>
      </c>
      <c r="G30" s="5"/>
      <c r="H30" s="3" t="s">
        <v>35</v>
      </c>
      <c r="I30" s="3" t="s">
        <v>322</v>
      </c>
      <c r="J30" s="4" t="s">
        <v>21</v>
      </c>
      <c r="K30" s="6" t="s">
        <v>22</v>
      </c>
      <c r="L30" s="3"/>
      <c r="M30" s="4" t="s">
        <v>23</v>
      </c>
    </row>
    <row r="31" customFormat="false" ht="15" hidden="false" customHeight="false" outlineLevel="0" collapsed="false">
      <c r="A31" s="7" t="s">
        <v>336</v>
      </c>
      <c r="B31" s="7" t="s">
        <v>299</v>
      </c>
      <c r="C31" s="8" t="s">
        <v>31</v>
      </c>
      <c r="D31" s="7" t="s">
        <v>337</v>
      </c>
      <c r="E31" s="7" t="s">
        <v>338</v>
      </c>
      <c r="F31" s="7" t="s">
        <v>34</v>
      </c>
      <c r="G31" s="9"/>
      <c r="H31" s="7" t="s">
        <v>35</v>
      </c>
      <c r="I31" s="7" t="s">
        <v>332</v>
      </c>
      <c r="J31" s="8" t="s">
        <v>21</v>
      </c>
      <c r="K31" s="6" t="s">
        <v>22</v>
      </c>
      <c r="L31" s="7"/>
      <c r="M31" s="8" t="s">
        <v>23</v>
      </c>
    </row>
    <row r="32" customFormat="false" ht="15" hidden="false" customHeight="false" outlineLevel="0" collapsed="false">
      <c r="A32" s="3" t="s">
        <v>347</v>
      </c>
      <c r="B32" s="3" t="s">
        <v>299</v>
      </c>
      <c r="C32" s="4" t="s">
        <v>31</v>
      </c>
      <c r="D32" s="3" t="s">
        <v>348</v>
      </c>
      <c r="E32" s="3" t="s">
        <v>349</v>
      </c>
      <c r="F32" s="3" t="s">
        <v>94</v>
      </c>
      <c r="G32" s="5"/>
      <c r="H32" s="3" t="s">
        <v>287</v>
      </c>
      <c r="I32" s="3" t="s">
        <v>342</v>
      </c>
      <c r="J32" s="4" t="s">
        <v>21</v>
      </c>
      <c r="K32" s="12" t="s">
        <v>343</v>
      </c>
      <c r="L32" s="3"/>
      <c r="M32" s="4" t="s">
        <v>23</v>
      </c>
    </row>
    <row r="33" customFormat="false" ht="15" hidden="false" customHeight="false" outlineLevel="0" collapsed="false">
      <c r="A33" s="7" t="s">
        <v>357</v>
      </c>
      <c r="B33" s="7" t="s">
        <v>299</v>
      </c>
      <c r="C33" s="8" t="s">
        <v>31</v>
      </c>
      <c r="D33" s="7" t="s">
        <v>358</v>
      </c>
      <c r="E33" s="7" t="s">
        <v>359</v>
      </c>
      <c r="F33" s="7" t="s">
        <v>94</v>
      </c>
      <c r="G33" s="9"/>
      <c r="H33" s="7" t="s">
        <v>287</v>
      </c>
      <c r="I33" s="7" t="s">
        <v>353</v>
      </c>
      <c r="J33" s="8" t="s">
        <v>21</v>
      </c>
      <c r="K33" s="12" t="s">
        <v>343</v>
      </c>
      <c r="L33" s="7"/>
      <c r="M33" s="8" t="s">
        <v>23</v>
      </c>
    </row>
    <row r="34" customFormat="false" ht="15" hidden="false" customHeight="false" outlineLevel="0" collapsed="false">
      <c r="A34" s="3" t="s">
        <v>369</v>
      </c>
      <c r="B34" s="3" t="s">
        <v>361</v>
      </c>
      <c r="C34" s="4" t="s">
        <v>31</v>
      </c>
      <c r="D34" s="3" t="s">
        <v>370</v>
      </c>
      <c r="E34" s="3" t="s">
        <v>371</v>
      </c>
      <c r="F34" s="3" t="s">
        <v>364</v>
      </c>
      <c r="G34" s="5"/>
      <c r="H34" s="3" t="s">
        <v>104</v>
      </c>
      <c r="I34" s="3" t="s">
        <v>365</v>
      </c>
      <c r="J34" s="4" t="s">
        <v>21</v>
      </c>
      <c r="K34" s="6" t="s">
        <v>22</v>
      </c>
      <c r="L34" s="3"/>
      <c r="M34" s="4" t="s">
        <v>23</v>
      </c>
    </row>
    <row r="35" customFormat="false" ht="15" hidden="false" customHeight="false" outlineLevel="0" collapsed="false">
      <c r="A35" s="7" t="s">
        <v>379</v>
      </c>
      <c r="B35" s="7" t="s">
        <v>361</v>
      </c>
      <c r="C35" s="8" t="s">
        <v>31</v>
      </c>
      <c r="D35" s="7" t="s">
        <v>380</v>
      </c>
      <c r="E35" s="7" t="s">
        <v>381</v>
      </c>
      <c r="F35" s="7" t="s">
        <v>364</v>
      </c>
      <c r="G35" s="9"/>
      <c r="H35" s="7" t="s">
        <v>104</v>
      </c>
      <c r="I35" s="7" t="s">
        <v>375</v>
      </c>
      <c r="J35" s="8" t="s">
        <v>21</v>
      </c>
      <c r="K35" s="6" t="s">
        <v>22</v>
      </c>
      <c r="L35" s="7"/>
      <c r="M35" s="8" t="s">
        <v>23</v>
      </c>
    </row>
    <row r="36" customFormat="false" ht="15" hidden="false" customHeight="false" outlineLevel="0" collapsed="false">
      <c r="A36" s="3" t="s">
        <v>389</v>
      </c>
      <c r="B36" s="3" t="s">
        <v>361</v>
      </c>
      <c r="C36" s="4" t="s">
        <v>31</v>
      </c>
      <c r="D36" s="3" t="s">
        <v>390</v>
      </c>
      <c r="E36" s="3" t="s">
        <v>391</v>
      </c>
      <c r="F36" s="3" t="s">
        <v>364</v>
      </c>
      <c r="G36" s="5"/>
      <c r="H36" s="3" t="s">
        <v>104</v>
      </c>
      <c r="I36" s="3" t="s">
        <v>385</v>
      </c>
      <c r="J36" s="4" t="s">
        <v>21</v>
      </c>
      <c r="K36" s="6" t="s">
        <v>22</v>
      </c>
      <c r="L36" s="3"/>
      <c r="M36" s="4" t="s">
        <v>23</v>
      </c>
    </row>
    <row r="37" customFormat="false" ht="15" hidden="false" customHeight="false" outlineLevel="0" collapsed="false">
      <c r="A37" s="7" t="s">
        <v>399</v>
      </c>
      <c r="B37" s="7" t="s">
        <v>361</v>
      </c>
      <c r="C37" s="8" t="s">
        <v>31</v>
      </c>
      <c r="D37" s="7" t="s">
        <v>400</v>
      </c>
      <c r="E37" s="7" t="s">
        <v>401</v>
      </c>
      <c r="F37" s="7" t="s">
        <v>364</v>
      </c>
      <c r="G37" s="9"/>
      <c r="H37" s="7" t="s">
        <v>104</v>
      </c>
      <c r="I37" s="7" t="s">
        <v>395</v>
      </c>
      <c r="J37" s="8" t="s">
        <v>21</v>
      </c>
      <c r="K37" s="6" t="s">
        <v>22</v>
      </c>
      <c r="L37" s="7"/>
      <c r="M37" s="8" t="s">
        <v>23</v>
      </c>
    </row>
    <row r="38" customFormat="false" ht="15" hidden="false" customHeight="false" outlineLevel="0" collapsed="false">
      <c r="A38" s="3" t="s">
        <v>410</v>
      </c>
      <c r="B38" s="3" t="s">
        <v>361</v>
      </c>
      <c r="C38" s="4" t="s">
        <v>31</v>
      </c>
      <c r="D38" s="3" t="s">
        <v>411</v>
      </c>
      <c r="E38" s="3" t="s">
        <v>412</v>
      </c>
      <c r="F38" s="3" t="s">
        <v>405</v>
      </c>
      <c r="G38" s="5"/>
      <c r="H38" s="3" t="s">
        <v>104</v>
      </c>
      <c r="I38" s="3" t="s">
        <v>406</v>
      </c>
      <c r="J38" s="4" t="s">
        <v>21</v>
      </c>
      <c r="K38" s="6" t="s">
        <v>22</v>
      </c>
      <c r="L38" s="3"/>
      <c r="M38" s="4" t="s">
        <v>23</v>
      </c>
    </row>
    <row r="39" customFormat="false" ht="15" hidden="false" customHeight="false" outlineLevel="0" collapsed="false">
      <c r="A39" s="7" t="s">
        <v>420</v>
      </c>
      <c r="B39" s="7" t="s">
        <v>361</v>
      </c>
      <c r="C39" s="8" t="s">
        <v>31</v>
      </c>
      <c r="D39" s="7" t="s">
        <v>421</v>
      </c>
      <c r="E39" s="7" t="s">
        <v>422</v>
      </c>
      <c r="F39" s="7" t="s">
        <v>405</v>
      </c>
      <c r="G39" s="9"/>
      <c r="H39" s="7" t="s">
        <v>104</v>
      </c>
      <c r="I39" s="7" t="s">
        <v>416</v>
      </c>
      <c r="J39" s="8" t="s">
        <v>21</v>
      </c>
      <c r="K39" s="6" t="s">
        <v>22</v>
      </c>
      <c r="L39" s="7"/>
      <c r="M39" s="8" t="s">
        <v>23</v>
      </c>
    </row>
    <row r="40" customFormat="false" ht="15" hidden="false" customHeight="false" outlineLevel="0" collapsed="false">
      <c r="A40" s="3" t="s">
        <v>430</v>
      </c>
      <c r="B40" s="3" t="s">
        <v>361</v>
      </c>
      <c r="C40" s="4" t="s">
        <v>31</v>
      </c>
      <c r="D40" s="3" t="s">
        <v>431</v>
      </c>
      <c r="E40" s="3" t="s">
        <v>432</v>
      </c>
      <c r="F40" s="3" t="s">
        <v>405</v>
      </c>
      <c r="G40" s="5"/>
      <c r="H40" s="3" t="s">
        <v>104</v>
      </c>
      <c r="I40" s="3" t="s">
        <v>426</v>
      </c>
      <c r="J40" s="4" t="s">
        <v>21</v>
      </c>
      <c r="K40" s="6" t="s">
        <v>22</v>
      </c>
      <c r="L40" s="3"/>
      <c r="M40" s="4" t="s">
        <v>23</v>
      </c>
    </row>
    <row r="41" customFormat="false" ht="15" hidden="false" customHeight="false" outlineLevel="0" collapsed="false">
      <c r="A41" s="7" t="s">
        <v>443</v>
      </c>
      <c r="B41" s="7" t="s">
        <v>361</v>
      </c>
      <c r="C41" s="8" t="s">
        <v>31</v>
      </c>
      <c r="D41" s="7" t="s">
        <v>444</v>
      </c>
      <c r="E41" s="7" t="s">
        <v>445</v>
      </c>
      <c r="F41" s="7" t="s">
        <v>436</v>
      </c>
      <c r="G41" s="10" t="n">
        <v>2024</v>
      </c>
      <c r="H41" s="7" t="s">
        <v>446</v>
      </c>
      <c r="I41" s="7" t="s">
        <v>438</v>
      </c>
      <c r="J41" s="8" t="s">
        <v>21</v>
      </c>
      <c r="K41" s="12" t="s">
        <v>343</v>
      </c>
      <c r="L41" s="7"/>
      <c r="M41" s="8" t="s">
        <v>23</v>
      </c>
    </row>
    <row r="42" customFormat="false" ht="15" hidden="false" customHeight="false" outlineLevel="0" collapsed="false">
      <c r="A42" s="3" t="s">
        <v>455</v>
      </c>
      <c r="B42" s="3" t="s">
        <v>448</v>
      </c>
      <c r="C42" s="4" t="s">
        <v>31</v>
      </c>
      <c r="D42" s="3" t="s">
        <v>456</v>
      </c>
      <c r="E42" s="3" t="s">
        <v>457</v>
      </c>
      <c r="F42" s="3" t="s">
        <v>79</v>
      </c>
      <c r="G42" s="11" t="n">
        <v>2026</v>
      </c>
      <c r="H42" s="3" t="s">
        <v>89</v>
      </c>
      <c r="I42" s="3" t="s">
        <v>451</v>
      </c>
      <c r="J42" s="4" t="s">
        <v>21</v>
      </c>
      <c r="K42" s="6" t="s">
        <v>22</v>
      </c>
      <c r="L42" s="3"/>
      <c r="M42" s="4" t="s">
        <v>23</v>
      </c>
    </row>
    <row r="43" customFormat="false" ht="15" hidden="false" customHeight="false" outlineLevel="0" collapsed="false">
      <c r="A43" s="7" t="s">
        <v>465</v>
      </c>
      <c r="B43" s="7" t="s">
        <v>448</v>
      </c>
      <c r="C43" s="8" t="s">
        <v>31</v>
      </c>
      <c r="D43" s="7" t="s">
        <v>466</v>
      </c>
      <c r="E43" s="7" t="s">
        <v>467</v>
      </c>
      <c r="F43" s="7" t="s">
        <v>79</v>
      </c>
      <c r="G43" s="10" t="n">
        <v>2026</v>
      </c>
      <c r="H43" s="7" t="s">
        <v>89</v>
      </c>
      <c r="I43" s="7" t="s">
        <v>461</v>
      </c>
      <c r="J43" s="8" t="s">
        <v>21</v>
      </c>
      <c r="K43" s="6" t="s">
        <v>22</v>
      </c>
      <c r="L43" s="7"/>
      <c r="M43" s="8" t="s">
        <v>23</v>
      </c>
    </row>
    <row r="44" customFormat="false" ht="15" hidden="false" customHeight="false" outlineLevel="0" collapsed="false">
      <c r="A44" s="3" t="s">
        <v>475</v>
      </c>
      <c r="B44" s="3" t="s">
        <v>448</v>
      </c>
      <c r="C44" s="4" t="s">
        <v>31</v>
      </c>
      <c r="D44" s="3" t="s">
        <v>476</v>
      </c>
      <c r="E44" s="3" t="s">
        <v>477</v>
      </c>
      <c r="F44" s="3" t="s">
        <v>79</v>
      </c>
      <c r="G44" s="11" t="n">
        <v>2026</v>
      </c>
      <c r="H44" s="3" t="s">
        <v>89</v>
      </c>
      <c r="I44" s="3" t="s">
        <v>471</v>
      </c>
      <c r="J44" s="4" t="s">
        <v>21</v>
      </c>
      <c r="K44" s="6" t="s">
        <v>22</v>
      </c>
      <c r="L44" s="3"/>
      <c r="M44" s="4" t="s">
        <v>23</v>
      </c>
    </row>
    <row r="45" customFormat="false" ht="15" hidden="false" customHeight="false" outlineLevel="0" collapsed="false">
      <c r="A45" s="7" t="s">
        <v>485</v>
      </c>
      <c r="B45" s="7" t="s">
        <v>448</v>
      </c>
      <c r="C45" s="8" t="s">
        <v>31</v>
      </c>
      <c r="D45" s="7" t="s">
        <v>486</v>
      </c>
      <c r="E45" s="7" t="s">
        <v>487</v>
      </c>
      <c r="F45" s="7" t="s">
        <v>79</v>
      </c>
      <c r="G45" s="10" t="n">
        <v>2026</v>
      </c>
      <c r="H45" s="7" t="s">
        <v>89</v>
      </c>
      <c r="I45" s="7" t="s">
        <v>481</v>
      </c>
      <c r="J45" s="8" t="s">
        <v>21</v>
      </c>
      <c r="K45" s="6" t="s">
        <v>22</v>
      </c>
      <c r="L45" s="7"/>
      <c r="M45" s="8" t="s">
        <v>23</v>
      </c>
    </row>
    <row r="46" customFormat="false" ht="15" hidden="false" customHeight="false" outlineLevel="0" collapsed="false">
      <c r="A46" s="3" t="s">
        <v>495</v>
      </c>
      <c r="B46" s="3" t="s">
        <v>448</v>
      </c>
      <c r="C46" s="4" t="s">
        <v>31</v>
      </c>
      <c r="D46" s="3" t="s">
        <v>496</v>
      </c>
      <c r="E46" s="3" t="s">
        <v>497</v>
      </c>
      <c r="F46" s="3" t="s">
        <v>79</v>
      </c>
      <c r="G46" s="11" t="n">
        <v>2026</v>
      </c>
      <c r="H46" s="3" t="s">
        <v>89</v>
      </c>
      <c r="I46" s="3" t="s">
        <v>491</v>
      </c>
      <c r="J46" s="4" t="s">
        <v>21</v>
      </c>
      <c r="K46" s="6" t="s">
        <v>22</v>
      </c>
      <c r="L46" s="3"/>
      <c r="M46" s="4" t="s">
        <v>23</v>
      </c>
    </row>
    <row r="47" customFormat="false" ht="15" hidden="false" customHeight="false" outlineLevel="0" collapsed="false">
      <c r="A47" s="7" t="s">
        <v>505</v>
      </c>
      <c r="B47" s="7" t="s">
        <v>448</v>
      </c>
      <c r="C47" s="8" t="s">
        <v>31</v>
      </c>
      <c r="D47" s="7" t="s">
        <v>506</v>
      </c>
      <c r="E47" s="7" t="s">
        <v>507</v>
      </c>
      <c r="F47" s="7" t="s">
        <v>79</v>
      </c>
      <c r="G47" s="10" t="n">
        <v>2026</v>
      </c>
      <c r="H47" s="7" t="s">
        <v>89</v>
      </c>
      <c r="I47" s="7" t="s">
        <v>501</v>
      </c>
      <c r="J47" s="8" t="s">
        <v>21</v>
      </c>
      <c r="K47" s="6" t="s">
        <v>22</v>
      </c>
      <c r="L47" s="7"/>
      <c r="M47" s="8" t="s">
        <v>23</v>
      </c>
    </row>
    <row r="48" customFormat="false" ht="15" hidden="false" customHeight="false" outlineLevel="0" collapsed="false">
      <c r="A48" s="3" t="s">
        <v>515</v>
      </c>
      <c r="B48" s="3" t="s">
        <v>448</v>
      </c>
      <c r="C48" s="4" t="s">
        <v>31</v>
      </c>
      <c r="D48" s="3" t="s">
        <v>516</v>
      </c>
      <c r="E48" s="3" t="s">
        <v>517</v>
      </c>
      <c r="F48" s="3" t="s">
        <v>79</v>
      </c>
      <c r="G48" s="11" t="n">
        <v>2026</v>
      </c>
      <c r="H48" s="3" t="s">
        <v>89</v>
      </c>
      <c r="I48" s="3" t="s">
        <v>511</v>
      </c>
      <c r="J48" s="4" t="s">
        <v>21</v>
      </c>
      <c r="K48" s="6" t="s">
        <v>22</v>
      </c>
      <c r="L48" s="3"/>
      <c r="M48" s="4" t="s">
        <v>23</v>
      </c>
    </row>
    <row r="49" customFormat="false" ht="15" hidden="false" customHeight="false" outlineLevel="0" collapsed="false">
      <c r="A49" s="7" t="s">
        <v>525</v>
      </c>
      <c r="B49" s="7" t="s">
        <v>448</v>
      </c>
      <c r="C49" s="8" t="s">
        <v>31</v>
      </c>
      <c r="D49" s="7" t="s">
        <v>526</v>
      </c>
      <c r="E49" s="7" t="s">
        <v>527</v>
      </c>
      <c r="F49" s="7" t="s">
        <v>79</v>
      </c>
      <c r="G49" s="10" t="n">
        <v>2026</v>
      </c>
      <c r="H49" s="7" t="s">
        <v>89</v>
      </c>
      <c r="I49" s="7" t="s">
        <v>521</v>
      </c>
      <c r="J49" s="8" t="s">
        <v>21</v>
      </c>
      <c r="K49" s="6" t="s">
        <v>22</v>
      </c>
      <c r="L49" s="7"/>
      <c r="M49" s="8" t="s">
        <v>23</v>
      </c>
    </row>
    <row r="50" customFormat="false" ht="15" hidden="false" customHeight="false" outlineLevel="0" collapsed="false">
      <c r="A50" s="3" t="s">
        <v>538</v>
      </c>
      <c r="B50" s="3" t="s">
        <v>448</v>
      </c>
      <c r="C50" s="4" t="s">
        <v>31</v>
      </c>
      <c r="D50" s="3" t="s">
        <v>539</v>
      </c>
      <c r="E50" s="3" t="s">
        <v>540</v>
      </c>
      <c r="F50" s="3" t="s">
        <v>531</v>
      </c>
      <c r="G50" s="11" t="n">
        <v>2026</v>
      </c>
      <c r="H50" s="3" t="s">
        <v>541</v>
      </c>
      <c r="I50" s="3" t="s">
        <v>533</v>
      </c>
      <c r="J50" s="4" t="s">
        <v>21</v>
      </c>
      <c r="K50" s="6" t="s">
        <v>22</v>
      </c>
      <c r="L50" s="3"/>
      <c r="M50" s="4" t="s">
        <v>23</v>
      </c>
    </row>
    <row r="51" customFormat="false" ht="15" hidden="false" customHeight="false" outlineLevel="0" collapsed="false">
      <c r="A51" s="7" t="s">
        <v>551</v>
      </c>
      <c r="B51" s="7" t="s">
        <v>448</v>
      </c>
      <c r="C51" s="8" t="s">
        <v>31</v>
      </c>
      <c r="D51" s="7" t="s">
        <v>552</v>
      </c>
      <c r="E51" s="7" t="s">
        <v>553</v>
      </c>
      <c r="F51" s="7" t="s">
        <v>531</v>
      </c>
      <c r="G51" s="10" t="n">
        <v>2026</v>
      </c>
      <c r="H51" s="7" t="s">
        <v>554</v>
      </c>
      <c r="I51" s="7" t="s">
        <v>546</v>
      </c>
      <c r="J51" s="8" t="s">
        <v>21</v>
      </c>
      <c r="K51" s="12" t="s">
        <v>343</v>
      </c>
      <c r="L51" s="7"/>
      <c r="M51" s="8" t="s">
        <v>23</v>
      </c>
    </row>
    <row r="52" customFormat="false" ht="15" hidden="false" customHeight="false" outlineLevel="0" collapsed="false">
      <c r="A52" s="3" t="s">
        <v>563</v>
      </c>
      <c r="B52" s="3" t="s">
        <v>556</v>
      </c>
      <c r="C52" s="4" t="s">
        <v>31</v>
      </c>
      <c r="D52" s="3" t="s">
        <v>564</v>
      </c>
      <c r="E52" s="3" t="s">
        <v>565</v>
      </c>
      <c r="F52" s="3" t="s">
        <v>531</v>
      </c>
      <c r="G52" s="11" t="n">
        <v>2026</v>
      </c>
      <c r="H52" s="3" t="s">
        <v>89</v>
      </c>
      <c r="I52" s="3" t="s">
        <v>559</v>
      </c>
      <c r="J52" s="4" t="s">
        <v>21</v>
      </c>
      <c r="K52" s="6" t="s">
        <v>22</v>
      </c>
      <c r="L52" s="3"/>
      <c r="M52" s="4" t="s">
        <v>23</v>
      </c>
    </row>
    <row r="53" customFormat="false" ht="15" hidden="false" customHeight="false" outlineLevel="0" collapsed="false">
      <c r="A53" s="7" t="s">
        <v>573</v>
      </c>
      <c r="B53" s="7" t="s">
        <v>556</v>
      </c>
      <c r="C53" s="8" t="s">
        <v>31</v>
      </c>
      <c r="D53" s="7" t="s">
        <v>574</v>
      </c>
      <c r="E53" s="7" t="s">
        <v>575</v>
      </c>
      <c r="F53" s="7" t="s">
        <v>531</v>
      </c>
      <c r="G53" s="10" t="n">
        <v>2026</v>
      </c>
      <c r="H53" s="7" t="s">
        <v>89</v>
      </c>
      <c r="I53" s="7" t="s">
        <v>569</v>
      </c>
      <c r="J53" s="8" t="s">
        <v>21</v>
      </c>
      <c r="K53" s="6" t="s">
        <v>22</v>
      </c>
      <c r="L53" s="7"/>
      <c r="M53" s="8" t="s">
        <v>23</v>
      </c>
    </row>
    <row r="54" customFormat="false" ht="15" hidden="false" customHeight="false" outlineLevel="0" collapsed="false">
      <c r="A54" s="3" t="s">
        <v>583</v>
      </c>
      <c r="B54" s="3" t="s">
        <v>556</v>
      </c>
      <c r="C54" s="4" t="s">
        <v>31</v>
      </c>
      <c r="D54" s="3" t="s">
        <v>584</v>
      </c>
      <c r="E54" s="3" t="s">
        <v>585</v>
      </c>
      <c r="F54" s="3" t="s">
        <v>531</v>
      </c>
      <c r="G54" s="11" t="n">
        <v>2026</v>
      </c>
      <c r="H54" s="3" t="s">
        <v>89</v>
      </c>
      <c r="I54" s="3" t="s">
        <v>579</v>
      </c>
      <c r="J54" s="4" t="s">
        <v>21</v>
      </c>
      <c r="K54" s="6" t="s">
        <v>22</v>
      </c>
      <c r="L54" s="3"/>
      <c r="M54" s="4" t="s">
        <v>23</v>
      </c>
    </row>
    <row r="55" customFormat="false" ht="15" hidden="false" customHeight="false" outlineLevel="0" collapsed="false">
      <c r="A55" s="7" t="s">
        <v>593</v>
      </c>
      <c r="B55" s="7" t="s">
        <v>556</v>
      </c>
      <c r="C55" s="8" t="s">
        <v>31</v>
      </c>
      <c r="D55" s="7" t="s">
        <v>594</v>
      </c>
      <c r="E55" s="7" t="s">
        <v>595</v>
      </c>
      <c r="F55" s="7" t="s">
        <v>531</v>
      </c>
      <c r="G55" s="10" t="n">
        <v>2026</v>
      </c>
      <c r="H55" s="7" t="s">
        <v>89</v>
      </c>
      <c r="I55" s="7" t="s">
        <v>589</v>
      </c>
      <c r="J55" s="8" t="s">
        <v>21</v>
      </c>
      <c r="K55" s="6" t="s">
        <v>22</v>
      </c>
      <c r="L55" s="7"/>
      <c r="M55" s="8" t="s">
        <v>23</v>
      </c>
    </row>
    <row r="56" customFormat="false" ht="15" hidden="false" customHeight="false" outlineLevel="0" collapsed="false">
      <c r="A56" s="3" t="s">
        <v>603</v>
      </c>
      <c r="B56" s="3" t="s">
        <v>556</v>
      </c>
      <c r="C56" s="4" t="s">
        <v>31</v>
      </c>
      <c r="D56" s="3" t="s">
        <v>604</v>
      </c>
      <c r="E56" s="3" t="s">
        <v>605</v>
      </c>
      <c r="F56" s="3" t="s">
        <v>405</v>
      </c>
      <c r="G56" s="5"/>
      <c r="H56" s="3" t="s">
        <v>104</v>
      </c>
      <c r="I56" s="3" t="s">
        <v>599</v>
      </c>
      <c r="J56" s="4" t="s">
        <v>21</v>
      </c>
      <c r="K56" s="6" t="s">
        <v>22</v>
      </c>
      <c r="L56" s="3"/>
      <c r="M56" s="4" t="s">
        <v>23</v>
      </c>
    </row>
    <row r="57" customFormat="false" ht="15" hidden="false" customHeight="false" outlineLevel="0" collapsed="false">
      <c r="A57" s="7" t="s">
        <v>615</v>
      </c>
      <c r="B57" s="7" t="s">
        <v>556</v>
      </c>
      <c r="C57" s="8" t="s">
        <v>31</v>
      </c>
      <c r="D57" s="7" t="s">
        <v>616</v>
      </c>
      <c r="E57" s="7" t="s">
        <v>617</v>
      </c>
      <c r="F57" s="7" t="s">
        <v>34</v>
      </c>
      <c r="G57" s="10" t="n">
        <v>2026</v>
      </c>
      <c r="H57" s="7" t="s">
        <v>618</v>
      </c>
      <c r="I57" s="7" t="s">
        <v>610</v>
      </c>
      <c r="J57" s="8" t="s">
        <v>21</v>
      </c>
      <c r="K57" s="6" t="s">
        <v>22</v>
      </c>
      <c r="L57" s="7"/>
      <c r="M57" s="8" t="s">
        <v>23</v>
      </c>
    </row>
    <row r="58" customFormat="false" ht="15" hidden="false" customHeight="false" outlineLevel="0" collapsed="false">
      <c r="A58" s="3" t="s">
        <v>630</v>
      </c>
      <c r="B58" s="3" t="s">
        <v>620</v>
      </c>
      <c r="C58" s="4" t="s">
        <v>31</v>
      </c>
      <c r="D58" s="3" t="s">
        <v>631</v>
      </c>
      <c r="E58" s="3" t="s">
        <v>632</v>
      </c>
      <c r="F58" s="3" t="s">
        <v>623</v>
      </c>
      <c r="G58" s="11" t="n">
        <v>2026</v>
      </c>
      <c r="H58" s="3" t="s">
        <v>633</v>
      </c>
      <c r="I58" s="3" t="s">
        <v>625</v>
      </c>
      <c r="J58" s="4" t="s">
        <v>21</v>
      </c>
      <c r="K58" s="6" t="s">
        <v>22</v>
      </c>
      <c r="L58" s="3"/>
      <c r="M58" s="4" t="s">
        <v>23</v>
      </c>
    </row>
    <row r="59" customFormat="false" ht="15" hidden="false" customHeight="false" outlineLevel="0" collapsed="false">
      <c r="A59" s="7" t="s">
        <v>641</v>
      </c>
      <c r="B59" s="7" t="s">
        <v>620</v>
      </c>
      <c r="C59" s="8" t="s">
        <v>31</v>
      </c>
      <c r="D59" s="7" t="s">
        <v>642</v>
      </c>
      <c r="E59" s="7" t="s">
        <v>643</v>
      </c>
      <c r="F59" s="7" t="s">
        <v>623</v>
      </c>
      <c r="G59" s="10" t="n">
        <v>2026</v>
      </c>
      <c r="H59" s="7" t="s">
        <v>633</v>
      </c>
      <c r="I59" s="7" t="s">
        <v>637</v>
      </c>
      <c r="J59" s="8" t="s">
        <v>21</v>
      </c>
      <c r="K59" s="6" t="s">
        <v>22</v>
      </c>
      <c r="L59" s="7"/>
      <c r="M59" s="8" t="s">
        <v>23</v>
      </c>
    </row>
    <row r="60" customFormat="false" ht="15" hidden="false" customHeight="false" outlineLevel="0" collapsed="false">
      <c r="A60" s="3" t="s">
        <v>651</v>
      </c>
      <c r="B60" s="3" t="s">
        <v>620</v>
      </c>
      <c r="C60" s="4" t="s">
        <v>31</v>
      </c>
      <c r="D60" s="3" t="s">
        <v>652</v>
      </c>
      <c r="E60" s="3" t="s">
        <v>653</v>
      </c>
      <c r="F60" s="3" t="s">
        <v>623</v>
      </c>
      <c r="G60" s="11" t="n">
        <v>2026</v>
      </c>
      <c r="H60" s="3" t="s">
        <v>633</v>
      </c>
      <c r="I60" s="3" t="s">
        <v>647</v>
      </c>
      <c r="J60" s="4" t="s">
        <v>21</v>
      </c>
      <c r="K60" s="6" t="s">
        <v>22</v>
      </c>
      <c r="L60" s="3"/>
      <c r="M60" s="4" t="s">
        <v>23</v>
      </c>
    </row>
    <row r="61" customFormat="false" ht="15" hidden="false" customHeight="false" outlineLevel="0" collapsed="false">
      <c r="A61" s="7" t="s">
        <v>664</v>
      </c>
      <c r="B61" s="7" t="s">
        <v>620</v>
      </c>
      <c r="C61" s="8" t="s">
        <v>31</v>
      </c>
      <c r="D61" s="7" t="s">
        <v>665</v>
      </c>
      <c r="E61" s="7" t="s">
        <v>666</v>
      </c>
      <c r="F61" s="7" t="s">
        <v>623</v>
      </c>
      <c r="G61" s="10" t="n">
        <v>2026</v>
      </c>
      <c r="H61" s="7" t="s">
        <v>667</v>
      </c>
      <c r="I61" s="7" t="s">
        <v>658</v>
      </c>
      <c r="J61" s="8" t="s">
        <v>21</v>
      </c>
      <c r="K61" s="13" t="s">
        <v>659</v>
      </c>
      <c r="L61" s="7"/>
      <c r="M61" s="8" t="s">
        <v>23</v>
      </c>
    </row>
    <row r="62" customFormat="false" ht="15" hidden="false" customHeight="false" outlineLevel="0" collapsed="false">
      <c r="A62" s="3" t="s">
        <v>675</v>
      </c>
      <c r="B62" s="3" t="s">
        <v>620</v>
      </c>
      <c r="C62" s="4" t="s">
        <v>31</v>
      </c>
      <c r="D62" s="3" t="s">
        <v>676</v>
      </c>
      <c r="E62" s="3" t="s">
        <v>677</v>
      </c>
      <c r="F62" s="3" t="s">
        <v>623</v>
      </c>
      <c r="G62" s="11" t="n">
        <v>2026</v>
      </c>
      <c r="H62" s="3" t="s">
        <v>667</v>
      </c>
      <c r="I62" s="3" t="s">
        <v>671</v>
      </c>
      <c r="J62" s="4" t="s">
        <v>21</v>
      </c>
      <c r="K62" s="13" t="s">
        <v>659</v>
      </c>
      <c r="L62" s="3" t="s">
        <v>34</v>
      </c>
      <c r="M62" s="4" t="s">
        <v>23</v>
      </c>
    </row>
    <row r="63" customFormat="false" ht="15" hidden="false" customHeight="false" outlineLevel="0" collapsed="false">
      <c r="A63" s="7" t="s">
        <v>689</v>
      </c>
      <c r="B63" s="7" t="s">
        <v>620</v>
      </c>
      <c r="C63" s="8" t="s">
        <v>31</v>
      </c>
      <c r="D63" s="7" t="s">
        <v>690</v>
      </c>
      <c r="E63" s="7" t="s">
        <v>691</v>
      </c>
      <c r="F63" s="7" t="s">
        <v>692</v>
      </c>
      <c r="G63" s="10" t="n">
        <v>2026</v>
      </c>
      <c r="H63" s="7" t="s">
        <v>693</v>
      </c>
      <c r="I63" s="7" t="s">
        <v>683</v>
      </c>
      <c r="J63" s="8" t="s">
        <v>21</v>
      </c>
      <c r="K63" s="6" t="s">
        <v>22</v>
      </c>
      <c r="L63" s="7"/>
      <c r="M63" s="8" t="s">
        <v>23</v>
      </c>
    </row>
    <row r="64" customFormat="false" ht="15" hidden="false" customHeight="false" outlineLevel="0" collapsed="false">
      <c r="A64" s="3" t="s">
        <v>703</v>
      </c>
      <c r="B64" s="3" t="s">
        <v>695</v>
      </c>
      <c r="C64" s="4" t="s">
        <v>31</v>
      </c>
      <c r="D64" s="3" t="s">
        <v>704</v>
      </c>
      <c r="E64" s="3" t="s">
        <v>705</v>
      </c>
      <c r="F64" s="3" t="s">
        <v>698</v>
      </c>
      <c r="G64" s="5"/>
      <c r="H64" s="3" t="s">
        <v>104</v>
      </c>
      <c r="I64" s="3" t="s">
        <v>699</v>
      </c>
      <c r="J64" s="4" t="s">
        <v>21</v>
      </c>
      <c r="K64" s="6" t="s">
        <v>22</v>
      </c>
      <c r="L64" s="3"/>
      <c r="M64" s="4" t="s">
        <v>23</v>
      </c>
    </row>
    <row r="65" customFormat="false" ht="15" hidden="false" customHeight="false" outlineLevel="0" collapsed="false">
      <c r="A65" s="7" t="s">
        <v>714</v>
      </c>
      <c r="B65" s="7" t="s">
        <v>695</v>
      </c>
      <c r="C65" s="8" t="s">
        <v>31</v>
      </c>
      <c r="D65" s="7" t="s">
        <v>715</v>
      </c>
      <c r="E65" s="7" t="s">
        <v>716</v>
      </c>
      <c r="F65" s="7" t="s">
        <v>709</v>
      </c>
      <c r="G65" s="10" t="n">
        <v>2026</v>
      </c>
      <c r="H65" s="7" t="s">
        <v>633</v>
      </c>
      <c r="I65" s="7" t="s">
        <v>710</v>
      </c>
      <c r="J65" s="8" t="s">
        <v>21</v>
      </c>
      <c r="K65" s="6" t="s">
        <v>22</v>
      </c>
      <c r="L65" s="7"/>
      <c r="M65" s="8" t="s">
        <v>23</v>
      </c>
    </row>
    <row r="66" customFormat="false" ht="15" hidden="false" customHeight="false" outlineLevel="0" collapsed="false">
      <c r="A66" s="3" t="s">
        <v>724</v>
      </c>
      <c r="B66" s="3" t="s">
        <v>695</v>
      </c>
      <c r="C66" s="4" t="s">
        <v>31</v>
      </c>
      <c r="D66" s="3" t="s">
        <v>725</v>
      </c>
      <c r="E66" s="3" t="s">
        <v>726</v>
      </c>
      <c r="F66" s="3" t="s">
        <v>709</v>
      </c>
      <c r="G66" s="11" t="n">
        <v>2026</v>
      </c>
      <c r="H66" s="3" t="s">
        <v>633</v>
      </c>
      <c r="I66" s="3" t="s">
        <v>720</v>
      </c>
      <c r="J66" s="4" t="s">
        <v>21</v>
      </c>
      <c r="K66" s="6" t="s">
        <v>22</v>
      </c>
      <c r="L66" s="3"/>
      <c r="M66" s="4" t="s">
        <v>23</v>
      </c>
    </row>
    <row r="67" customFormat="false" ht="15" hidden="false" customHeight="false" outlineLevel="0" collapsed="false">
      <c r="A67" s="7" t="s">
        <v>734</v>
      </c>
      <c r="B67" s="7" t="s">
        <v>695</v>
      </c>
      <c r="C67" s="8" t="s">
        <v>31</v>
      </c>
      <c r="D67" s="7" t="s">
        <v>735</v>
      </c>
      <c r="E67" s="7" t="s">
        <v>736</v>
      </c>
      <c r="F67" s="7" t="s">
        <v>709</v>
      </c>
      <c r="G67" s="10" t="n">
        <v>2026</v>
      </c>
      <c r="H67" s="7" t="s">
        <v>633</v>
      </c>
      <c r="I67" s="7" t="s">
        <v>730</v>
      </c>
      <c r="J67" s="8" t="s">
        <v>21</v>
      </c>
      <c r="K67" s="6" t="s">
        <v>22</v>
      </c>
      <c r="L67" s="7"/>
      <c r="M67" s="8" t="s">
        <v>23</v>
      </c>
    </row>
    <row r="68" customFormat="false" ht="15" hidden="false" customHeight="false" outlineLevel="0" collapsed="false">
      <c r="A68" s="3" t="s">
        <v>744</v>
      </c>
      <c r="B68" s="3" t="s">
        <v>695</v>
      </c>
      <c r="C68" s="4" t="s">
        <v>31</v>
      </c>
      <c r="D68" s="3" t="s">
        <v>745</v>
      </c>
      <c r="E68" s="3" t="s">
        <v>746</v>
      </c>
      <c r="F68" s="3" t="s">
        <v>709</v>
      </c>
      <c r="G68" s="11" t="n">
        <v>2026</v>
      </c>
      <c r="H68" s="3" t="s">
        <v>633</v>
      </c>
      <c r="I68" s="3" t="s">
        <v>740</v>
      </c>
      <c r="J68" s="4" t="s">
        <v>21</v>
      </c>
      <c r="K68" s="6" t="s">
        <v>22</v>
      </c>
      <c r="L68" s="3"/>
      <c r="M68" s="4" t="s">
        <v>23</v>
      </c>
    </row>
    <row r="69" customFormat="false" ht="15" hidden="false" customHeight="false" outlineLevel="0" collapsed="false">
      <c r="A69" s="7" t="s">
        <v>754</v>
      </c>
      <c r="B69" s="7" t="s">
        <v>695</v>
      </c>
      <c r="C69" s="8" t="s">
        <v>31</v>
      </c>
      <c r="D69" s="7" t="s">
        <v>755</v>
      </c>
      <c r="E69" s="7" t="s">
        <v>756</v>
      </c>
      <c r="F69" s="7" t="s">
        <v>709</v>
      </c>
      <c r="G69" s="10" t="n">
        <v>2026</v>
      </c>
      <c r="H69" s="7" t="s">
        <v>633</v>
      </c>
      <c r="I69" s="7" t="s">
        <v>750</v>
      </c>
      <c r="J69" s="8" t="s">
        <v>21</v>
      </c>
      <c r="K69" s="6" t="s">
        <v>22</v>
      </c>
      <c r="L69" s="7"/>
      <c r="M69" s="8" t="s">
        <v>23</v>
      </c>
    </row>
    <row r="70" customFormat="false" ht="15" hidden="false" customHeight="false" outlineLevel="0" collapsed="false">
      <c r="A70" s="3" t="s">
        <v>765</v>
      </c>
      <c r="B70" s="3" t="s">
        <v>758</v>
      </c>
      <c r="C70" s="4" t="s">
        <v>31</v>
      </c>
      <c r="D70" s="3" t="s">
        <v>766</v>
      </c>
      <c r="E70" s="3" t="s">
        <v>767</v>
      </c>
      <c r="F70" s="3" t="s">
        <v>34</v>
      </c>
      <c r="G70" s="5"/>
      <c r="H70" s="3" t="s">
        <v>35</v>
      </c>
      <c r="I70" s="3" t="s">
        <v>761</v>
      </c>
      <c r="J70" s="4" t="s">
        <v>21</v>
      </c>
      <c r="K70" s="6" t="s">
        <v>22</v>
      </c>
      <c r="L70" s="3"/>
      <c r="M70" s="4" t="s">
        <v>23</v>
      </c>
    </row>
    <row r="71" customFormat="false" ht="15" hidden="false" customHeight="false" outlineLevel="0" collapsed="false">
      <c r="A71" s="7" t="s">
        <v>775</v>
      </c>
      <c r="B71" s="7" t="s">
        <v>758</v>
      </c>
      <c r="C71" s="8" t="s">
        <v>31</v>
      </c>
      <c r="D71" s="7" t="s">
        <v>776</v>
      </c>
      <c r="E71" s="7" t="s">
        <v>777</v>
      </c>
      <c r="F71" s="7" t="s">
        <v>34</v>
      </c>
      <c r="G71" s="9"/>
      <c r="H71" s="7" t="s">
        <v>35</v>
      </c>
      <c r="I71" s="7" t="s">
        <v>771</v>
      </c>
      <c r="J71" s="8" t="s">
        <v>21</v>
      </c>
      <c r="K71" s="6" t="s">
        <v>22</v>
      </c>
      <c r="L71" s="7"/>
      <c r="M71" s="8" t="s">
        <v>23</v>
      </c>
    </row>
    <row r="72" customFormat="false" ht="15" hidden="false" customHeight="false" outlineLevel="0" collapsed="false">
      <c r="A72" s="3" t="s">
        <v>785</v>
      </c>
      <c r="B72" s="3" t="s">
        <v>758</v>
      </c>
      <c r="C72" s="4" t="s">
        <v>31</v>
      </c>
      <c r="D72" s="3" t="s">
        <v>786</v>
      </c>
      <c r="E72" s="3" t="s">
        <v>787</v>
      </c>
      <c r="F72" s="3" t="s">
        <v>34</v>
      </c>
      <c r="G72" s="5"/>
      <c r="H72" s="3" t="s">
        <v>35</v>
      </c>
      <c r="I72" s="3" t="s">
        <v>781</v>
      </c>
      <c r="J72" s="4" t="s">
        <v>21</v>
      </c>
      <c r="K72" s="6" t="s">
        <v>22</v>
      </c>
      <c r="L72" s="3"/>
      <c r="M72" s="4" t="s">
        <v>23</v>
      </c>
    </row>
    <row r="73" customFormat="false" ht="15" hidden="false" customHeight="false" outlineLevel="0" collapsed="false">
      <c r="A73" s="7" t="s">
        <v>797</v>
      </c>
      <c r="B73" s="7" t="s">
        <v>758</v>
      </c>
      <c r="C73" s="8" t="s">
        <v>31</v>
      </c>
      <c r="D73" s="7" t="s">
        <v>798</v>
      </c>
      <c r="E73" s="7" t="s">
        <v>799</v>
      </c>
      <c r="F73" s="7" t="s">
        <v>34</v>
      </c>
      <c r="G73" s="9"/>
      <c r="H73" s="7" t="s">
        <v>800</v>
      </c>
      <c r="I73" s="7" t="s">
        <v>792</v>
      </c>
      <c r="J73" s="8" t="s">
        <v>21</v>
      </c>
      <c r="K73" s="12" t="s">
        <v>343</v>
      </c>
      <c r="L73" s="7"/>
      <c r="M73" s="8" t="s">
        <v>23</v>
      </c>
    </row>
    <row r="74" customFormat="false" ht="15" hidden="false" customHeight="false" outlineLevel="0" collapsed="false">
      <c r="A74" s="3" t="s">
        <v>809</v>
      </c>
      <c r="B74" s="3" t="s">
        <v>758</v>
      </c>
      <c r="C74" s="4" t="s">
        <v>31</v>
      </c>
      <c r="D74" s="3" t="s">
        <v>810</v>
      </c>
      <c r="E74" s="3" t="s">
        <v>811</v>
      </c>
      <c r="F74" s="3" t="s">
        <v>804</v>
      </c>
      <c r="G74" s="5"/>
      <c r="H74" s="3" t="s">
        <v>287</v>
      </c>
      <c r="I74" s="3" t="s">
        <v>805</v>
      </c>
      <c r="J74" s="4" t="s">
        <v>21</v>
      </c>
      <c r="K74" s="12" t="s">
        <v>343</v>
      </c>
      <c r="L74" s="3"/>
      <c r="M74" s="4" t="s">
        <v>23</v>
      </c>
    </row>
    <row r="75" customFormat="false" ht="15" hidden="false" customHeight="false" outlineLevel="0" collapsed="false">
      <c r="A75" s="7" t="s">
        <v>819</v>
      </c>
      <c r="B75" s="7" t="s">
        <v>758</v>
      </c>
      <c r="C75" s="8" t="s">
        <v>31</v>
      </c>
      <c r="D75" s="7" t="s">
        <v>820</v>
      </c>
      <c r="E75" s="7" t="s">
        <v>821</v>
      </c>
      <c r="F75" s="7" t="s">
        <v>804</v>
      </c>
      <c r="G75" s="9"/>
      <c r="H75" s="7" t="s">
        <v>287</v>
      </c>
      <c r="I75" s="7" t="s">
        <v>815</v>
      </c>
      <c r="J75" s="8" t="s">
        <v>21</v>
      </c>
      <c r="K75" s="12" t="s">
        <v>343</v>
      </c>
      <c r="L75" s="7"/>
      <c r="M75" s="8" t="s">
        <v>23</v>
      </c>
    </row>
    <row r="76" customFormat="false" ht="15" hidden="false" customHeight="false" outlineLevel="0" collapsed="false">
      <c r="A76" s="3" t="s">
        <v>830</v>
      </c>
      <c r="B76" s="3" t="s">
        <v>823</v>
      </c>
      <c r="C76" s="4" t="s">
        <v>31</v>
      </c>
      <c r="D76" s="3" t="s">
        <v>831</v>
      </c>
      <c r="E76" s="3" t="s">
        <v>832</v>
      </c>
      <c r="F76" s="3" t="s">
        <v>94</v>
      </c>
      <c r="G76" s="5"/>
      <c r="H76" s="3" t="s">
        <v>104</v>
      </c>
      <c r="I76" s="3" t="s">
        <v>826</v>
      </c>
      <c r="J76" s="4" t="s">
        <v>21</v>
      </c>
      <c r="K76" s="6" t="s">
        <v>22</v>
      </c>
      <c r="L76" s="3"/>
      <c r="M76" s="4" t="s">
        <v>23</v>
      </c>
    </row>
    <row r="77" customFormat="false" ht="15" hidden="false" customHeight="false" outlineLevel="0" collapsed="false">
      <c r="A77" s="7" t="s">
        <v>840</v>
      </c>
      <c r="B77" s="7" t="s">
        <v>823</v>
      </c>
      <c r="C77" s="8" t="s">
        <v>31</v>
      </c>
      <c r="D77" s="7" t="s">
        <v>841</v>
      </c>
      <c r="E77" s="7" t="s">
        <v>842</v>
      </c>
      <c r="F77" s="7" t="s">
        <v>804</v>
      </c>
      <c r="G77" s="9"/>
      <c r="H77" s="7" t="s">
        <v>287</v>
      </c>
      <c r="I77" s="7" t="s">
        <v>836</v>
      </c>
      <c r="J77" s="8" t="s">
        <v>21</v>
      </c>
      <c r="K77" s="12" t="s">
        <v>343</v>
      </c>
      <c r="L77" s="7"/>
      <c r="M77" s="8" t="s">
        <v>23</v>
      </c>
    </row>
    <row r="78" customFormat="false" ht="15" hidden="false" customHeight="false" outlineLevel="0" collapsed="false">
      <c r="A78" s="3" t="s">
        <v>850</v>
      </c>
      <c r="B78" s="3" t="s">
        <v>823</v>
      </c>
      <c r="C78" s="4" t="s">
        <v>31</v>
      </c>
      <c r="D78" s="3" t="s">
        <v>851</v>
      </c>
      <c r="E78" s="3" t="s">
        <v>852</v>
      </c>
      <c r="F78" s="3" t="s">
        <v>804</v>
      </c>
      <c r="G78" s="5"/>
      <c r="H78" s="3" t="s">
        <v>287</v>
      </c>
      <c r="I78" s="3" t="s">
        <v>846</v>
      </c>
      <c r="J78" s="4" t="s">
        <v>21</v>
      </c>
      <c r="K78" s="12" t="s">
        <v>343</v>
      </c>
      <c r="L78" s="3"/>
      <c r="M78" s="4" t="s">
        <v>23</v>
      </c>
    </row>
    <row r="79" customFormat="false" ht="15" hidden="false" customHeight="false" outlineLevel="0" collapsed="false">
      <c r="A79" s="7" t="s">
        <v>860</v>
      </c>
      <c r="B79" s="7" t="s">
        <v>823</v>
      </c>
      <c r="C79" s="8" t="s">
        <v>31</v>
      </c>
      <c r="D79" s="7" t="s">
        <v>861</v>
      </c>
      <c r="E79" s="7" t="s">
        <v>862</v>
      </c>
      <c r="F79" s="7" t="s">
        <v>804</v>
      </c>
      <c r="G79" s="9"/>
      <c r="H79" s="7" t="s">
        <v>287</v>
      </c>
      <c r="I79" s="7" t="s">
        <v>856</v>
      </c>
      <c r="J79" s="8" t="s">
        <v>21</v>
      </c>
      <c r="K79" s="12" t="s">
        <v>343</v>
      </c>
      <c r="L79" s="7"/>
      <c r="M79" s="8" t="s">
        <v>23</v>
      </c>
    </row>
    <row r="80" customFormat="false" ht="15" hidden="false" customHeight="false" outlineLevel="0" collapsed="false">
      <c r="A80" s="3" t="s">
        <v>871</v>
      </c>
      <c r="B80" s="3" t="s">
        <v>864</v>
      </c>
      <c r="C80" s="4" t="s">
        <v>31</v>
      </c>
      <c r="D80" s="3" t="s">
        <v>872</v>
      </c>
      <c r="E80" s="3" t="s">
        <v>873</v>
      </c>
      <c r="F80" s="3" t="s">
        <v>34</v>
      </c>
      <c r="G80" s="5"/>
      <c r="H80" s="3" t="s">
        <v>35</v>
      </c>
      <c r="I80" s="3" t="s">
        <v>867</v>
      </c>
      <c r="J80" s="4" t="s">
        <v>21</v>
      </c>
      <c r="K80" s="6" t="s">
        <v>22</v>
      </c>
      <c r="L80" s="3"/>
      <c r="M80" s="4" t="s">
        <v>23</v>
      </c>
    </row>
    <row r="81" customFormat="false" ht="15" hidden="false" customHeight="false" outlineLevel="0" collapsed="false">
      <c r="A81" s="7" t="s">
        <v>881</v>
      </c>
      <c r="B81" s="7" t="s">
        <v>864</v>
      </c>
      <c r="C81" s="8" t="s">
        <v>31</v>
      </c>
      <c r="D81" s="7" t="s">
        <v>882</v>
      </c>
      <c r="E81" s="7" t="s">
        <v>883</v>
      </c>
      <c r="F81" s="7" t="s">
        <v>34</v>
      </c>
      <c r="G81" s="9"/>
      <c r="H81" s="7" t="s">
        <v>35</v>
      </c>
      <c r="I81" s="7" t="s">
        <v>877</v>
      </c>
      <c r="J81" s="8" t="s">
        <v>21</v>
      </c>
      <c r="K81" s="6" t="s">
        <v>22</v>
      </c>
      <c r="L81" s="7"/>
      <c r="M81" s="8" t="s">
        <v>23</v>
      </c>
    </row>
    <row r="82" customFormat="false" ht="15" hidden="false" customHeight="false" outlineLevel="0" collapsed="false">
      <c r="A82" s="3" t="s">
        <v>891</v>
      </c>
      <c r="B82" s="3" t="s">
        <v>864</v>
      </c>
      <c r="C82" s="4" t="s">
        <v>31</v>
      </c>
      <c r="D82" s="3" t="s">
        <v>892</v>
      </c>
      <c r="E82" s="3" t="s">
        <v>893</v>
      </c>
      <c r="F82" s="3" t="s">
        <v>34</v>
      </c>
      <c r="G82" s="5"/>
      <c r="H82" s="3" t="s">
        <v>35</v>
      </c>
      <c r="I82" s="3" t="s">
        <v>887</v>
      </c>
      <c r="J82" s="4" t="s">
        <v>21</v>
      </c>
      <c r="K82" s="6" t="s">
        <v>22</v>
      </c>
      <c r="L82" s="3"/>
      <c r="M82" s="4" t="s">
        <v>23</v>
      </c>
    </row>
    <row r="83" customFormat="false" ht="15" hidden="false" customHeight="false" outlineLevel="0" collapsed="false">
      <c r="A83" s="7" t="s">
        <v>901</v>
      </c>
      <c r="B83" s="7" t="s">
        <v>864</v>
      </c>
      <c r="C83" s="8" t="s">
        <v>31</v>
      </c>
      <c r="D83" s="7" t="s">
        <v>902</v>
      </c>
      <c r="E83" s="7" t="s">
        <v>903</v>
      </c>
      <c r="F83" s="7" t="s">
        <v>34</v>
      </c>
      <c r="G83" s="9"/>
      <c r="H83" s="7" t="s">
        <v>35</v>
      </c>
      <c r="I83" s="7" t="s">
        <v>897</v>
      </c>
      <c r="J83" s="8" t="s">
        <v>21</v>
      </c>
      <c r="K83" s="6" t="s">
        <v>22</v>
      </c>
      <c r="L83" s="7"/>
      <c r="M83" s="8" t="s">
        <v>23</v>
      </c>
    </row>
    <row r="84" customFormat="false" ht="15" hidden="false" customHeight="false" outlineLevel="0" collapsed="false">
      <c r="A84" s="3" t="s">
        <v>912</v>
      </c>
      <c r="B84" s="3" t="s">
        <v>864</v>
      </c>
      <c r="C84" s="4" t="s">
        <v>31</v>
      </c>
      <c r="D84" s="3" t="s">
        <v>913</v>
      </c>
      <c r="E84" s="3" t="s">
        <v>914</v>
      </c>
      <c r="F84" s="3" t="s">
        <v>907</v>
      </c>
      <c r="G84" s="5"/>
      <c r="H84" s="3" t="s">
        <v>104</v>
      </c>
      <c r="I84" s="3" t="s">
        <v>908</v>
      </c>
      <c r="J84" s="4" t="s">
        <v>21</v>
      </c>
      <c r="K84" s="6" t="s">
        <v>22</v>
      </c>
      <c r="L84" s="3"/>
      <c r="M84" s="4" t="s">
        <v>23</v>
      </c>
    </row>
    <row r="85" customFormat="false" ht="15" hidden="false" customHeight="false" outlineLevel="0" collapsed="false">
      <c r="A85" s="7" t="s">
        <v>922</v>
      </c>
      <c r="B85" s="7" t="s">
        <v>864</v>
      </c>
      <c r="C85" s="8" t="s">
        <v>31</v>
      </c>
      <c r="D85" s="7" t="s">
        <v>923</v>
      </c>
      <c r="E85" s="7" t="s">
        <v>924</v>
      </c>
      <c r="F85" s="7" t="s">
        <v>907</v>
      </c>
      <c r="G85" s="9"/>
      <c r="H85" s="7" t="s">
        <v>104</v>
      </c>
      <c r="I85" s="7" t="s">
        <v>918</v>
      </c>
      <c r="J85" s="8" t="s">
        <v>21</v>
      </c>
      <c r="K85" s="6" t="s">
        <v>22</v>
      </c>
      <c r="L85" s="7"/>
      <c r="M85" s="8" t="s">
        <v>23</v>
      </c>
    </row>
    <row r="86" customFormat="false" ht="15" hidden="false" customHeight="false" outlineLevel="0" collapsed="false">
      <c r="A86" s="3" t="s">
        <v>933</v>
      </c>
      <c r="B86" s="3" t="s">
        <v>926</v>
      </c>
      <c r="C86" s="4" t="s">
        <v>31</v>
      </c>
      <c r="D86" s="3" t="s">
        <v>934</v>
      </c>
      <c r="E86" s="3" t="s">
        <v>935</v>
      </c>
      <c r="F86" s="3" t="s">
        <v>94</v>
      </c>
      <c r="G86" s="5"/>
      <c r="H86" s="3" t="s">
        <v>104</v>
      </c>
      <c r="I86" s="3" t="s">
        <v>929</v>
      </c>
      <c r="J86" s="4" t="s">
        <v>21</v>
      </c>
      <c r="K86" s="6" t="s">
        <v>22</v>
      </c>
      <c r="L86" s="3"/>
      <c r="M86" s="4" t="s">
        <v>23</v>
      </c>
    </row>
    <row r="87" customFormat="false" ht="15" hidden="false" customHeight="false" outlineLevel="0" collapsed="false">
      <c r="A87" s="7" t="s">
        <v>943</v>
      </c>
      <c r="B87" s="7" t="s">
        <v>926</v>
      </c>
      <c r="C87" s="8" t="s">
        <v>31</v>
      </c>
      <c r="D87" s="7" t="s">
        <v>944</v>
      </c>
      <c r="E87" s="7" t="s">
        <v>945</v>
      </c>
      <c r="F87" s="7" t="s">
        <v>94</v>
      </c>
      <c r="G87" s="9"/>
      <c r="H87" s="7" t="s">
        <v>104</v>
      </c>
      <c r="I87" s="7" t="s">
        <v>939</v>
      </c>
      <c r="J87" s="8" t="s">
        <v>21</v>
      </c>
      <c r="K87" s="6" t="s">
        <v>22</v>
      </c>
      <c r="L87" s="7"/>
      <c r="M87" s="8" t="s">
        <v>23</v>
      </c>
    </row>
    <row r="88" customFormat="false" ht="15" hidden="false" customHeight="false" outlineLevel="0" collapsed="false">
      <c r="A88" s="3" t="s">
        <v>953</v>
      </c>
      <c r="B88" s="3" t="s">
        <v>926</v>
      </c>
      <c r="C88" s="4" t="s">
        <v>31</v>
      </c>
      <c r="D88" s="3" t="s">
        <v>954</v>
      </c>
      <c r="E88" s="3" t="s">
        <v>955</v>
      </c>
      <c r="F88" s="3" t="s">
        <v>94</v>
      </c>
      <c r="G88" s="5"/>
      <c r="H88" s="3" t="s">
        <v>104</v>
      </c>
      <c r="I88" s="3" t="s">
        <v>949</v>
      </c>
      <c r="J88" s="4" t="s">
        <v>21</v>
      </c>
      <c r="K88" s="6" t="s">
        <v>22</v>
      </c>
      <c r="L88" s="3"/>
      <c r="M88" s="4" t="s">
        <v>23</v>
      </c>
    </row>
    <row r="89" customFormat="false" ht="15" hidden="false" customHeight="false" outlineLevel="0" collapsed="false">
      <c r="A89" s="7" t="s">
        <v>963</v>
      </c>
      <c r="B89" s="7" t="s">
        <v>926</v>
      </c>
      <c r="C89" s="8" t="s">
        <v>31</v>
      </c>
      <c r="D89" s="7" t="s">
        <v>964</v>
      </c>
      <c r="E89" s="7" t="s">
        <v>965</v>
      </c>
      <c r="F89" s="7" t="s">
        <v>804</v>
      </c>
      <c r="G89" s="9"/>
      <c r="H89" s="7" t="s">
        <v>287</v>
      </c>
      <c r="I89" s="7" t="s">
        <v>959</v>
      </c>
      <c r="J89" s="8" t="s">
        <v>21</v>
      </c>
      <c r="K89" s="12" t="s">
        <v>343</v>
      </c>
      <c r="L89" s="7"/>
      <c r="M89" s="8" t="s">
        <v>23</v>
      </c>
    </row>
    <row r="90" customFormat="false" ht="15" hidden="false" customHeight="false" outlineLevel="0" collapsed="false">
      <c r="A90" s="3" t="s">
        <v>975</v>
      </c>
      <c r="B90" s="3" t="s">
        <v>967</v>
      </c>
      <c r="C90" s="4" t="s">
        <v>31</v>
      </c>
      <c r="D90" s="3" t="s">
        <v>976</v>
      </c>
      <c r="E90" s="3" t="s">
        <v>977</v>
      </c>
      <c r="F90" s="3" t="s">
        <v>970</v>
      </c>
      <c r="G90" s="5"/>
      <c r="H90" s="3" t="s">
        <v>104</v>
      </c>
      <c r="I90" s="3" t="s">
        <v>971</v>
      </c>
      <c r="J90" s="4" t="s">
        <v>21</v>
      </c>
      <c r="K90" s="6" t="s">
        <v>22</v>
      </c>
      <c r="L90" s="3"/>
      <c r="M90" s="4" t="s">
        <v>23</v>
      </c>
    </row>
    <row r="91" customFormat="false" ht="15" hidden="false" customHeight="false" outlineLevel="0" collapsed="false">
      <c r="A91" s="7" t="s">
        <v>985</v>
      </c>
      <c r="B91" s="7" t="s">
        <v>967</v>
      </c>
      <c r="C91" s="8" t="s">
        <v>31</v>
      </c>
      <c r="D91" s="7" t="s">
        <v>986</v>
      </c>
      <c r="E91" s="7" t="s">
        <v>987</v>
      </c>
      <c r="F91" s="7" t="s">
        <v>970</v>
      </c>
      <c r="G91" s="9"/>
      <c r="H91" s="7" t="s">
        <v>104</v>
      </c>
      <c r="I91" s="7" t="s">
        <v>981</v>
      </c>
      <c r="J91" s="8" t="s">
        <v>21</v>
      </c>
      <c r="K91" s="6" t="s">
        <v>22</v>
      </c>
      <c r="L91" s="7"/>
      <c r="M91" s="8" t="s">
        <v>23</v>
      </c>
    </row>
    <row r="92" customFormat="false" ht="15" hidden="false" customHeight="false" outlineLevel="0" collapsed="false">
      <c r="A92" s="3" t="s">
        <v>995</v>
      </c>
      <c r="B92" s="3" t="s">
        <v>967</v>
      </c>
      <c r="C92" s="4" t="s">
        <v>31</v>
      </c>
      <c r="D92" s="3" t="s">
        <v>996</v>
      </c>
      <c r="E92" s="3" t="s">
        <v>997</v>
      </c>
      <c r="F92" s="3" t="s">
        <v>970</v>
      </c>
      <c r="G92" s="5"/>
      <c r="H92" s="3" t="s">
        <v>104</v>
      </c>
      <c r="I92" s="3" t="s">
        <v>991</v>
      </c>
      <c r="J92" s="4" t="s">
        <v>21</v>
      </c>
      <c r="K92" s="6" t="s">
        <v>22</v>
      </c>
      <c r="L92" s="3"/>
      <c r="M92" s="4" t="s">
        <v>23</v>
      </c>
    </row>
    <row r="93" customFormat="false" ht="15" hidden="false" customHeight="false" outlineLevel="0" collapsed="false">
      <c r="A93" s="7" t="s">
        <v>1005</v>
      </c>
      <c r="B93" s="7" t="s">
        <v>967</v>
      </c>
      <c r="C93" s="8" t="s">
        <v>31</v>
      </c>
      <c r="D93" s="7" t="s">
        <v>1006</v>
      </c>
      <c r="E93" s="7" t="s">
        <v>1007</v>
      </c>
      <c r="F93" s="7" t="s">
        <v>970</v>
      </c>
      <c r="G93" s="9"/>
      <c r="H93" s="7" t="s">
        <v>104</v>
      </c>
      <c r="I93" s="7" t="s">
        <v>1001</v>
      </c>
      <c r="J93" s="8" t="s">
        <v>21</v>
      </c>
      <c r="K93" s="6" t="s">
        <v>22</v>
      </c>
      <c r="L93" s="7"/>
      <c r="M93" s="8" t="s">
        <v>23</v>
      </c>
    </row>
    <row r="94" customFormat="false" ht="15" hidden="false" customHeight="false" outlineLevel="0" collapsed="false">
      <c r="A94" s="3" t="s">
        <v>1015</v>
      </c>
      <c r="B94" s="3" t="s">
        <v>967</v>
      </c>
      <c r="C94" s="4" t="s">
        <v>31</v>
      </c>
      <c r="D94" s="3" t="s">
        <v>1016</v>
      </c>
      <c r="E94" s="3" t="s">
        <v>1017</v>
      </c>
      <c r="F94" s="3" t="s">
        <v>970</v>
      </c>
      <c r="G94" s="5"/>
      <c r="H94" s="3" t="s">
        <v>104</v>
      </c>
      <c r="I94" s="3" t="s">
        <v>1011</v>
      </c>
      <c r="J94" s="4" t="s">
        <v>21</v>
      </c>
      <c r="K94" s="6" t="s">
        <v>22</v>
      </c>
      <c r="L94" s="3"/>
      <c r="M94" s="4" t="s">
        <v>23</v>
      </c>
    </row>
    <row r="95" customFormat="false" ht="15" hidden="false" customHeight="false" outlineLevel="0" collapsed="false">
      <c r="A95" s="7" t="s">
        <v>1025</v>
      </c>
      <c r="B95" s="7" t="s">
        <v>967</v>
      </c>
      <c r="C95" s="8" t="s">
        <v>31</v>
      </c>
      <c r="D95" s="7" t="s">
        <v>1026</v>
      </c>
      <c r="E95" s="7" t="s">
        <v>1027</v>
      </c>
      <c r="F95" s="7" t="s">
        <v>970</v>
      </c>
      <c r="G95" s="9"/>
      <c r="H95" s="7" t="s">
        <v>104</v>
      </c>
      <c r="I95" s="7" t="s">
        <v>1021</v>
      </c>
      <c r="J95" s="8" t="s">
        <v>21</v>
      </c>
      <c r="K95" s="6" t="s">
        <v>22</v>
      </c>
      <c r="L95" s="7"/>
      <c r="M95" s="8" t="s">
        <v>23</v>
      </c>
    </row>
    <row r="96" customFormat="false" ht="15" hidden="false" customHeight="false" outlineLevel="0" collapsed="false">
      <c r="A96" s="3" t="s">
        <v>1035</v>
      </c>
      <c r="B96" s="3" t="s">
        <v>91</v>
      </c>
      <c r="C96" s="4" t="s">
        <v>31</v>
      </c>
      <c r="D96" s="3" t="s">
        <v>1036</v>
      </c>
      <c r="E96" s="3" t="s">
        <v>1037</v>
      </c>
      <c r="F96" s="3" t="s">
        <v>804</v>
      </c>
      <c r="G96" s="5"/>
      <c r="H96" s="3" t="s">
        <v>104</v>
      </c>
      <c r="I96" s="3" t="s">
        <v>1031</v>
      </c>
      <c r="J96" s="4" t="s">
        <v>21</v>
      </c>
      <c r="K96" s="6" t="s">
        <v>22</v>
      </c>
      <c r="L96" s="3"/>
      <c r="M96" s="4" t="s">
        <v>23</v>
      </c>
    </row>
    <row r="97" customFormat="false" ht="15" hidden="false" customHeight="false" outlineLevel="0" collapsed="false">
      <c r="A97" s="7" t="s">
        <v>1045</v>
      </c>
      <c r="B97" s="7" t="s">
        <v>448</v>
      </c>
      <c r="C97" s="8" t="s">
        <v>31</v>
      </c>
      <c r="D97" s="7" t="s">
        <v>1046</v>
      </c>
      <c r="E97" s="7" t="s">
        <v>1047</v>
      </c>
      <c r="F97" s="7" t="s">
        <v>79</v>
      </c>
      <c r="G97" s="10" t="n">
        <v>2026</v>
      </c>
      <c r="H97" s="7" t="s">
        <v>89</v>
      </c>
      <c r="I97" s="7" t="s">
        <v>1041</v>
      </c>
      <c r="J97" s="8" t="s">
        <v>21</v>
      </c>
      <c r="K97" s="6" t="s">
        <v>22</v>
      </c>
      <c r="L97" s="7"/>
      <c r="M97" s="8" t="s">
        <v>23</v>
      </c>
    </row>
    <row r="98" customFormat="false" ht="15" hidden="false" customHeight="false" outlineLevel="0" collapsed="false">
      <c r="A98" s="3" t="s">
        <v>1056</v>
      </c>
      <c r="B98" s="3" t="s">
        <v>556</v>
      </c>
      <c r="C98" s="4" t="s">
        <v>31</v>
      </c>
      <c r="D98" s="3" t="s">
        <v>1057</v>
      </c>
      <c r="E98" s="3" t="s">
        <v>1058</v>
      </c>
      <c r="F98" s="3" t="s">
        <v>1051</v>
      </c>
      <c r="G98" s="11" t="n">
        <v>2026</v>
      </c>
      <c r="H98" s="3" t="s">
        <v>633</v>
      </c>
      <c r="I98" s="3" t="s">
        <v>1052</v>
      </c>
      <c r="J98" s="4" t="s">
        <v>21</v>
      </c>
      <c r="K98" s="6" t="s">
        <v>22</v>
      </c>
      <c r="L98" s="3"/>
      <c r="M98" s="4" t="s">
        <v>23</v>
      </c>
    </row>
    <row r="99" customFormat="false" ht="15" hidden="false" customHeight="false" outlineLevel="0" collapsed="false">
      <c r="A99" s="7" t="s">
        <v>1069</v>
      </c>
      <c r="B99" s="7" t="s">
        <v>1060</v>
      </c>
      <c r="C99" s="8" t="s">
        <v>31</v>
      </c>
      <c r="D99" s="7" t="s">
        <v>1070</v>
      </c>
      <c r="E99" s="7" t="s">
        <v>1071</v>
      </c>
      <c r="F99" s="7" t="s">
        <v>1072</v>
      </c>
      <c r="G99" s="10" t="n">
        <v>2026</v>
      </c>
      <c r="H99" s="7" t="s">
        <v>554</v>
      </c>
      <c r="I99" s="7" t="s">
        <v>1064</v>
      </c>
      <c r="J99" s="8" t="s">
        <v>21</v>
      </c>
      <c r="K99" s="6" t="s">
        <v>22</v>
      </c>
      <c r="L99" s="7"/>
      <c r="M99" s="8" t="s">
        <v>23</v>
      </c>
    </row>
    <row r="100" customFormat="false" ht="15" hidden="false" customHeight="false" outlineLevel="0" collapsed="false">
      <c r="A100" s="3" t="s">
        <v>1080</v>
      </c>
      <c r="B100" s="3" t="s">
        <v>91</v>
      </c>
      <c r="C100" s="4" t="s">
        <v>31</v>
      </c>
      <c r="D100" s="3" t="s">
        <v>1081</v>
      </c>
      <c r="E100" s="3" t="s">
        <v>1082</v>
      </c>
      <c r="F100" s="3" t="s">
        <v>804</v>
      </c>
      <c r="G100" s="5"/>
      <c r="H100" s="3" t="s">
        <v>287</v>
      </c>
      <c r="I100" s="3" t="s">
        <v>1076</v>
      </c>
      <c r="J100" s="4" t="s">
        <v>21</v>
      </c>
      <c r="K100" s="6" t="s">
        <v>22</v>
      </c>
      <c r="L100" s="3"/>
      <c r="M100" s="4" t="s">
        <v>23</v>
      </c>
    </row>
    <row r="101" customFormat="false" ht="15" hidden="false" customHeight="false" outlineLevel="0" collapsed="false">
      <c r="A101" s="7" t="s">
        <v>1090</v>
      </c>
      <c r="B101" s="7" t="s">
        <v>864</v>
      </c>
      <c r="C101" s="8" t="s">
        <v>31</v>
      </c>
      <c r="D101" s="7" t="s">
        <v>1091</v>
      </c>
      <c r="E101" s="7" t="s">
        <v>1092</v>
      </c>
      <c r="F101" s="7" t="s">
        <v>907</v>
      </c>
      <c r="G101" s="9"/>
      <c r="H101" s="7" t="s">
        <v>287</v>
      </c>
      <c r="I101" s="7" t="s">
        <v>1086</v>
      </c>
      <c r="J101" s="8" t="s">
        <v>21</v>
      </c>
      <c r="K101" s="6" t="s">
        <v>22</v>
      </c>
      <c r="L101" s="7"/>
      <c r="M101" s="8" t="s">
        <v>23</v>
      </c>
    </row>
    <row r="102" customFormat="false" ht="15" hidden="false" customHeight="false" outlineLevel="0" collapsed="false">
      <c r="A102" s="3" t="s">
        <v>1104</v>
      </c>
      <c r="B102" s="3" t="s">
        <v>1094</v>
      </c>
      <c r="C102" s="4" t="s">
        <v>31</v>
      </c>
      <c r="D102" s="3" t="s">
        <v>1105</v>
      </c>
      <c r="E102" s="3" t="s">
        <v>1106</v>
      </c>
      <c r="F102" s="3" t="s">
        <v>1097</v>
      </c>
      <c r="G102" s="5"/>
      <c r="H102" s="3" t="s">
        <v>1107</v>
      </c>
      <c r="I102" s="3" t="s">
        <v>1099</v>
      </c>
      <c r="J102" s="4" t="s">
        <v>21</v>
      </c>
      <c r="K102" s="6" t="s">
        <v>22</v>
      </c>
      <c r="L102" s="3"/>
      <c r="M102" s="4" t="s">
        <v>23</v>
      </c>
    </row>
    <row r="103" customFormat="false" ht="15" hidden="false" customHeight="false" outlineLevel="0" collapsed="false">
      <c r="A103" s="7" t="s">
        <v>1115</v>
      </c>
      <c r="B103" s="7" t="s">
        <v>1094</v>
      </c>
      <c r="C103" s="8" t="s">
        <v>31</v>
      </c>
      <c r="D103" s="7" t="s">
        <v>1116</v>
      </c>
      <c r="E103" s="7" t="s">
        <v>1117</v>
      </c>
      <c r="F103" s="7" t="s">
        <v>1097</v>
      </c>
      <c r="G103" s="9"/>
      <c r="H103" s="7" t="s">
        <v>1107</v>
      </c>
      <c r="I103" s="7" t="s">
        <v>1111</v>
      </c>
      <c r="J103" s="8" t="s">
        <v>21</v>
      </c>
      <c r="K103" s="6" t="s">
        <v>22</v>
      </c>
      <c r="L103" s="7"/>
      <c r="M103" s="8" t="s">
        <v>23</v>
      </c>
    </row>
    <row r="104" customFormat="false" ht="15" hidden="false" customHeight="false" outlineLevel="0" collapsed="false">
      <c r="A104" s="3" t="s">
        <v>1125</v>
      </c>
      <c r="B104" s="3" t="s">
        <v>1094</v>
      </c>
      <c r="C104" s="4" t="s">
        <v>31</v>
      </c>
      <c r="D104" s="3" t="s">
        <v>1126</v>
      </c>
      <c r="E104" s="3" t="s">
        <v>1127</v>
      </c>
      <c r="F104" s="3" t="s">
        <v>1097</v>
      </c>
      <c r="G104" s="5"/>
      <c r="H104" s="3" t="s">
        <v>1107</v>
      </c>
      <c r="I104" s="3" t="s">
        <v>1121</v>
      </c>
      <c r="J104" s="4" t="s">
        <v>21</v>
      </c>
      <c r="K104" s="6" t="s">
        <v>22</v>
      </c>
      <c r="L104" s="3"/>
      <c r="M104" s="4" t="s">
        <v>23</v>
      </c>
    </row>
    <row r="105" customFormat="false" ht="15" hidden="false" customHeight="false" outlineLevel="0" collapsed="false">
      <c r="A105" s="7" t="s">
        <v>1135</v>
      </c>
      <c r="B105" s="7" t="s">
        <v>1094</v>
      </c>
      <c r="C105" s="8" t="s">
        <v>31</v>
      </c>
      <c r="D105" s="7" t="s">
        <v>1136</v>
      </c>
      <c r="E105" s="7" t="s">
        <v>1137</v>
      </c>
      <c r="F105" s="7" t="s">
        <v>1097</v>
      </c>
      <c r="G105" s="9"/>
      <c r="H105" s="7" t="s">
        <v>1107</v>
      </c>
      <c r="I105" s="7" t="s">
        <v>1131</v>
      </c>
      <c r="J105" s="8" t="s">
        <v>21</v>
      </c>
      <c r="K105" s="6" t="s">
        <v>22</v>
      </c>
      <c r="L105" s="7"/>
      <c r="M105" s="8" t="s">
        <v>23</v>
      </c>
    </row>
    <row r="106" customFormat="false" ht="15" hidden="false" customHeight="false" outlineLevel="0" collapsed="false">
      <c r="A106" s="3" t="s">
        <v>1145</v>
      </c>
      <c r="B106" s="3" t="s">
        <v>1094</v>
      </c>
      <c r="C106" s="4" t="s">
        <v>31</v>
      </c>
      <c r="D106" s="3" t="s">
        <v>1146</v>
      </c>
      <c r="E106" s="3" t="s">
        <v>1147</v>
      </c>
      <c r="F106" s="3" t="s">
        <v>1097</v>
      </c>
      <c r="G106" s="5"/>
      <c r="H106" s="3" t="s">
        <v>1107</v>
      </c>
      <c r="I106" s="3" t="s">
        <v>1141</v>
      </c>
      <c r="J106" s="4" t="s">
        <v>21</v>
      </c>
      <c r="K106" s="6" t="s">
        <v>22</v>
      </c>
      <c r="L106" s="3"/>
      <c r="M106" s="4" t="s">
        <v>23</v>
      </c>
    </row>
    <row r="107" customFormat="false" ht="15" hidden="false" customHeight="false" outlineLevel="0" collapsed="false">
      <c r="A107" s="7" t="s">
        <v>1155</v>
      </c>
      <c r="B107" s="7" t="s">
        <v>1094</v>
      </c>
      <c r="C107" s="8" t="s">
        <v>31</v>
      </c>
      <c r="D107" s="7" t="s">
        <v>1156</v>
      </c>
      <c r="E107" s="7" t="s">
        <v>1157</v>
      </c>
      <c r="F107" s="7" t="s">
        <v>1097</v>
      </c>
      <c r="G107" s="9"/>
      <c r="H107" s="7" t="s">
        <v>1107</v>
      </c>
      <c r="I107" s="7" t="s">
        <v>1151</v>
      </c>
      <c r="J107" s="8" t="s">
        <v>21</v>
      </c>
      <c r="K107" s="6" t="s">
        <v>22</v>
      </c>
      <c r="L107" s="7"/>
      <c r="M107" s="8" t="s">
        <v>23</v>
      </c>
    </row>
    <row r="108" customFormat="false" ht="15" hidden="false" customHeight="false" outlineLevel="0" collapsed="false">
      <c r="A108" s="3" t="s">
        <v>1169</v>
      </c>
      <c r="B108" s="3" t="s">
        <v>1159</v>
      </c>
      <c r="C108" s="4" t="s">
        <v>31</v>
      </c>
      <c r="D108" s="3" t="s">
        <v>1170</v>
      </c>
      <c r="E108" s="3" t="s">
        <v>1171</v>
      </c>
      <c r="F108" s="3" t="s">
        <v>1162</v>
      </c>
      <c r="G108" s="5"/>
      <c r="H108" s="3" t="s">
        <v>1172</v>
      </c>
      <c r="I108" s="3" t="s">
        <v>1164</v>
      </c>
      <c r="J108" s="4" t="s">
        <v>21</v>
      </c>
      <c r="K108" s="6" t="s">
        <v>22</v>
      </c>
      <c r="L108" s="3"/>
      <c r="M108" s="4" t="s">
        <v>23</v>
      </c>
    </row>
    <row r="109" customFormat="false" ht="15" hidden="false" customHeight="false" outlineLevel="0" collapsed="false">
      <c r="A109" s="7" t="s">
        <v>1181</v>
      </c>
      <c r="B109" s="7" t="s">
        <v>1159</v>
      </c>
      <c r="C109" s="8" t="s">
        <v>31</v>
      </c>
      <c r="D109" s="7" t="s">
        <v>1182</v>
      </c>
      <c r="E109" s="7" t="s">
        <v>1183</v>
      </c>
      <c r="F109" s="7" t="s">
        <v>1176</v>
      </c>
      <c r="G109" s="9"/>
      <c r="H109" s="7" t="s">
        <v>1172</v>
      </c>
      <c r="I109" s="7" t="s">
        <v>1177</v>
      </c>
      <c r="J109" s="8" t="s">
        <v>21</v>
      </c>
      <c r="K109" s="6" t="s">
        <v>22</v>
      </c>
      <c r="L109" s="7"/>
      <c r="M109" s="8" t="s">
        <v>23</v>
      </c>
    </row>
    <row r="110" customFormat="false" ht="15" hidden="false" customHeight="false" outlineLevel="0" collapsed="false">
      <c r="A110" s="3" t="s">
        <v>1192</v>
      </c>
      <c r="B110" s="3" t="s">
        <v>1159</v>
      </c>
      <c r="C110" s="4" t="s">
        <v>31</v>
      </c>
      <c r="D110" s="3" t="s">
        <v>1193</v>
      </c>
      <c r="E110" s="3" t="s">
        <v>1194</v>
      </c>
      <c r="F110" s="3" t="s">
        <v>1187</v>
      </c>
      <c r="G110" s="5"/>
      <c r="H110" s="3" t="s">
        <v>1172</v>
      </c>
      <c r="I110" s="3" t="s">
        <v>1188</v>
      </c>
      <c r="J110" s="4" t="s">
        <v>21</v>
      </c>
      <c r="K110" s="6" t="s">
        <v>22</v>
      </c>
      <c r="L110" s="3"/>
      <c r="M110" s="4" t="s">
        <v>23</v>
      </c>
    </row>
    <row r="111" customFormat="false" ht="15" hidden="false" customHeight="false" outlineLevel="0" collapsed="false">
      <c r="A111" s="7" t="s">
        <v>1203</v>
      </c>
      <c r="B111" s="7" t="s">
        <v>1159</v>
      </c>
      <c r="C111" s="8" t="s">
        <v>31</v>
      </c>
      <c r="D111" s="7" t="s">
        <v>1204</v>
      </c>
      <c r="E111" s="7" t="s">
        <v>1205</v>
      </c>
      <c r="F111" s="7" t="s">
        <v>1198</v>
      </c>
      <c r="G111" s="9"/>
      <c r="H111" s="7" t="s">
        <v>1172</v>
      </c>
      <c r="I111" s="7" t="s">
        <v>1199</v>
      </c>
      <c r="J111" s="8" t="s">
        <v>21</v>
      </c>
      <c r="K111" s="6" t="s">
        <v>22</v>
      </c>
      <c r="L111" s="7"/>
      <c r="M111" s="8" t="s">
        <v>23</v>
      </c>
    </row>
    <row r="112" customFormat="false" ht="15" hidden="false" customHeight="false" outlineLevel="0" collapsed="false">
      <c r="A112" s="3" t="s">
        <v>1213</v>
      </c>
      <c r="B112" s="3" t="s">
        <v>1159</v>
      </c>
      <c r="C112" s="4" t="s">
        <v>31</v>
      </c>
      <c r="D112" s="3" t="s">
        <v>1214</v>
      </c>
      <c r="E112" s="3" t="s">
        <v>1215</v>
      </c>
      <c r="F112" s="3" t="s">
        <v>1198</v>
      </c>
      <c r="G112" s="5"/>
      <c r="H112" s="3" t="s">
        <v>1172</v>
      </c>
      <c r="I112" s="3" t="s">
        <v>1209</v>
      </c>
      <c r="J112" s="4" t="s">
        <v>21</v>
      </c>
      <c r="K112" s="6" t="s">
        <v>22</v>
      </c>
      <c r="L112" s="3"/>
      <c r="M112" s="4" t="s">
        <v>23</v>
      </c>
    </row>
    <row r="113" customFormat="false" ht="15" hidden="false" customHeight="false" outlineLevel="0" collapsed="false">
      <c r="A113" s="7" t="s">
        <v>1223</v>
      </c>
      <c r="B113" s="7" t="s">
        <v>1159</v>
      </c>
      <c r="C113" s="8" t="s">
        <v>31</v>
      </c>
      <c r="D113" s="7" t="s">
        <v>1224</v>
      </c>
      <c r="E113" s="7" t="s">
        <v>1225</v>
      </c>
      <c r="F113" s="7" t="s">
        <v>1176</v>
      </c>
      <c r="G113" s="9"/>
      <c r="H113" s="7" t="s">
        <v>1172</v>
      </c>
      <c r="I113" s="7" t="s">
        <v>1219</v>
      </c>
      <c r="J113" s="8" t="s">
        <v>21</v>
      </c>
      <c r="K113" s="6" t="s">
        <v>22</v>
      </c>
      <c r="L113" s="7"/>
      <c r="M113" s="8" t="s">
        <v>23</v>
      </c>
    </row>
    <row r="114" customFormat="false" ht="15" hidden="false" customHeight="false" outlineLevel="0" collapsed="false">
      <c r="A114" s="3" t="s">
        <v>1234</v>
      </c>
      <c r="B114" s="3" t="s">
        <v>1060</v>
      </c>
      <c r="C114" s="4" t="s">
        <v>31</v>
      </c>
      <c r="D114" s="3" t="s">
        <v>1235</v>
      </c>
      <c r="E114" s="3" t="s">
        <v>1236</v>
      </c>
      <c r="F114" s="3" t="s">
        <v>1229</v>
      </c>
      <c r="G114" s="5"/>
      <c r="H114" s="3" t="s">
        <v>1172</v>
      </c>
      <c r="I114" s="3" t="s">
        <v>1230</v>
      </c>
      <c r="J114" s="4" t="s">
        <v>21</v>
      </c>
      <c r="K114" s="6" t="s">
        <v>22</v>
      </c>
      <c r="L114" s="3"/>
      <c r="M114" s="4" t="s">
        <v>23</v>
      </c>
    </row>
    <row r="115" customFormat="false" ht="15" hidden="false" customHeight="false" outlineLevel="0" collapsed="false">
      <c r="A115" s="7" t="s">
        <v>1244</v>
      </c>
      <c r="B115" s="7" t="s">
        <v>1060</v>
      </c>
      <c r="C115" s="8" t="s">
        <v>31</v>
      </c>
      <c r="D115" s="7" t="s">
        <v>1245</v>
      </c>
      <c r="E115" s="7" t="s">
        <v>1246</v>
      </c>
      <c r="F115" s="7" t="s">
        <v>1229</v>
      </c>
      <c r="G115" s="9"/>
      <c r="H115" s="7" t="s">
        <v>1172</v>
      </c>
      <c r="I115" s="7" t="s">
        <v>1240</v>
      </c>
      <c r="J115" s="8" t="s">
        <v>21</v>
      </c>
      <c r="K115" s="6" t="s">
        <v>22</v>
      </c>
      <c r="L115" s="7"/>
      <c r="M115" s="8" t="s">
        <v>23</v>
      </c>
    </row>
    <row r="116" customFormat="false" ht="15" hidden="false" customHeight="false" outlineLevel="0" collapsed="false">
      <c r="A116" s="3" t="s">
        <v>1254</v>
      </c>
      <c r="B116" s="3" t="s">
        <v>1060</v>
      </c>
      <c r="C116" s="4" t="s">
        <v>31</v>
      </c>
      <c r="D116" s="3" t="s">
        <v>1255</v>
      </c>
      <c r="E116" s="3" t="s">
        <v>1256</v>
      </c>
      <c r="F116" s="3" t="s">
        <v>1229</v>
      </c>
      <c r="G116" s="5"/>
      <c r="H116" s="3" t="s">
        <v>1172</v>
      </c>
      <c r="I116" s="3" t="s">
        <v>1250</v>
      </c>
      <c r="J116" s="4" t="s">
        <v>21</v>
      </c>
      <c r="K116" s="6" t="s">
        <v>22</v>
      </c>
      <c r="L116" s="3"/>
      <c r="M116" s="4" t="s">
        <v>23</v>
      </c>
    </row>
    <row r="117" customFormat="false" ht="15" hidden="false" customHeight="false" outlineLevel="0" collapsed="false">
      <c r="A117" s="7" t="s">
        <v>1264</v>
      </c>
      <c r="B117" s="7" t="s">
        <v>1060</v>
      </c>
      <c r="C117" s="8" t="s">
        <v>31</v>
      </c>
      <c r="D117" s="7" t="s">
        <v>1265</v>
      </c>
      <c r="E117" s="7" t="s">
        <v>1266</v>
      </c>
      <c r="F117" s="7" t="s">
        <v>1229</v>
      </c>
      <c r="G117" s="9"/>
      <c r="H117" s="7" t="s">
        <v>1172</v>
      </c>
      <c r="I117" s="7" t="s">
        <v>1260</v>
      </c>
      <c r="J117" s="8" t="s">
        <v>21</v>
      </c>
      <c r="K117" s="6" t="s">
        <v>22</v>
      </c>
      <c r="L117" s="7"/>
      <c r="M117" s="8" t="s">
        <v>23</v>
      </c>
    </row>
    <row r="118" customFormat="false" ht="15" hidden="false" customHeight="false" outlineLevel="0" collapsed="false">
      <c r="A118" s="3" t="s">
        <v>1275</v>
      </c>
      <c r="B118" s="3" t="s">
        <v>620</v>
      </c>
      <c r="C118" s="4" t="s">
        <v>31</v>
      </c>
      <c r="D118" s="3" t="s">
        <v>1276</v>
      </c>
      <c r="E118" s="3" t="s">
        <v>1277</v>
      </c>
      <c r="F118" s="3" t="s">
        <v>1270</v>
      </c>
      <c r="G118" s="5"/>
      <c r="H118" s="3" t="s">
        <v>104</v>
      </c>
      <c r="I118" s="3" t="s">
        <v>1271</v>
      </c>
      <c r="J118" s="4" t="s">
        <v>21</v>
      </c>
      <c r="K118" s="6" t="s">
        <v>22</v>
      </c>
      <c r="L118" s="3"/>
      <c r="M118" s="4" t="s">
        <v>23</v>
      </c>
    </row>
    <row r="119" customFormat="false" ht="15" hidden="false" customHeight="false" outlineLevel="0" collapsed="false">
      <c r="A119" s="7" t="s">
        <v>1285</v>
      </c>
      <c r="B119" s="7" t="s">
        <v>620</v>
      </c>
      <c r="C119" s="8" t="s">
        <v>31</v>
      </c>
      <c r="D119" s="7" t="s">
        <v>1286</v>
      </c>
      <c r="E119" s="7" t="s">
        <v>1287</v>
      </c>
      <c r="F119" s="7" t="s">
        <v>1270</v>
      </c>
      <c r="G119" s="9"/>
      <c r="H119" s="7" t="s">
        <v>104</v>
      </c>
      <c r="I119" s="7" t="s">
        <v>1281</v>
      </c>
      <c r="J119" s="8" t="s">
        <v>21</v>
      </c>
      <c r="K119" s="6" t="s">
        <v>22</v>
      </c>
      <c r="L119" s="7"/>
      <c r="M119" s="8" t="s">
        <v>23</v>
      </c>
    </row>
    <row r="120" customFormat="false" ht="15" hidden="false" customHeight="false" outlineLevel="0" collapsed="false">
      <c r="A120" s="3" t="s">
        <v>1295</v>
      </c>
      <c r="B120" s="3" t="s">
        <v>620</v>
      </c>
      <c r="C120" s="4" t="s">
        <v>31</v>
      </c>
      <c r="D120" s="3" t="s">
        <v>1296</v>
      </c>
      <c r="E120" s="3" t="s">
        <v>1297</v>
      </c>
      <c r="F120" s="3" t="s">
        <v>1270</v>
      </c>
      <c r="G120" s="5"/>
      <c r="H120" s="3" t="s">
        <v>104</v>
      </c>
      <c r="I120" s="3" t="s">
        <v>1291</v>
      </c>
      <c r="J120" s="4" t="s">
        <v>21</v>
      </c>
      <c r="K120" s="6" t="s">
        <v>22</v>
      </c>
      <c r="L120" s="3"/>
      <c r="M120" s="4" t="s">
        <v>23</v>
      </c>
    </row>
    <row r="121" customFormat="false" ht="15" hidden="false" customHeight="false" outlineLevel="0" collapsed="false">
      <c r="A121" s="7" t="s">
        <v>1305</v>
      </c>
      <c r="B121" s="7" t="s">
        <v>620</v>
      </c>
      <c r="C121" s="8" t="s">
        <v>31</v>
      </c>
      <c r="D121" s="7" t="s">
        <v>1306</v>
      </c>
      <c r="E121" s="7" t="s">
        <v>1307</v>
      </c>
      <c r="F121" s="7" t="s">
        <v>1270</v>
      </c>
      <c r="G121" s="9"/>
      <c r="H121" s="7" t="s">
        <v>104</v>
      </c>
      <c r="I121" s="7" t="s">
        <v>1301</v>
      </c>
      <c r="J121" s="8" t="s">
        <v>21</v>
      </c>
      <c r="K121" s="6" t="s">
        <v>22</v>
      </c>
      <c r="L121" s="7"/>
      <c r="M121" s="8" t="s">
        <v>23</v>
      </c>
    </row>
    <row r="122" customFormat="false" ht="15" hidden="false" customHeight="false" outlineLevel="0" collapsed="false">
      <c r="A122" s="3" t="s">
        <v>1320</v>
      </c>
      <c r="B122" s="3" t="s">
        <v>1309</v>
      </c>
      <c r="C122" s="4" t="s">
        <v>31</v>
      </c>
      <c r="D122" s="3" t="s">
        <v>1321</v>
      </c>
      <c r="E122" s="3" t="s">
        <v>1322</v>
      </c>
      <c r="F122" s="3" t="s">
        <v>1312</v>
      </c>
      <c r="G122" s="11" t="n">
        <v>2022</v>
      </c>
      <c r="H122" s="3" t="s">
        <v>1323</v>
      </c>
      <c r="I122" s="3" t="s">
        <v>1314</v>
      </c>
      <c r="J122" s="4" t="s">
        <v>21</v>
      </c>
      <c r="K122" s="6" t="s">
        <v>22</v>
      </c>
      <c r="L122" s="3"/>
      <c r="M122" s="4" t="s">
        <v>1315</v>
      </c>
    </row>
    <row r="123" customFormat="false" ht="15" hidden="false" customHeight="false" outlineLevel="0" collapsed="false">
      <c r="A123" s="7" t="s">
        <v>1331</v>
      </c>
      <c r="B123" s="7" t="s">
        <v>1309</v>
      </c>
      <c r="C123" s="8" t="s">
        <v>31</v>
      </c>
      <c r="D123" s="7" t="s">
        <v>1332</v>
      </c>
      <c r="E123" s="7" t="s">
        <v>1333</v>
      </c>
      <c r="F123" s="7" t="s">
        <v>1312</v>
      </c>
      <c r="G123" s="10" t="n">
        <v>2022</v>
      </c>
      <c r="H123" s="7" t="s">
        <v>1323</v>
      </c>
      <c r="I123" s="7" t="s">
        <v>1327</v>
      </c>
      <c r="J123" s="8" t="s">
        <v>21</v>
      </c>
      <c r="K123" s="6" t="s">
        <v>22</v>
      </c>
      <c r="L123" s="7"/>
      <c r="M123" s="8" t="s">
        <v>1315</v>
      </c>
    </row>
    <row r="124" customFormat="false" ht="15" hidden="false" customHeight="false" outlineLevel="0" collapsed="false">
      <c r="A124" s="3" t="s">
        <v>1341</v>
      </c>
      <c r="B124" s="3" t="s">
        <v>1309</v>
      </c>
      <c r="C124" s="4" t="s">
        <v>31</v>
      </c>
      <c r="D124" s="3" t="s">
        <v>1342</v>
      </c>
      <c r="E124" s="3" t="s">
        <v>1343</v>
      </c>
      <c r="F124" s="3" t="s">
        <v>1312</v>
      </c>
      <c r="G124" s="11" t="n">
        <v>2022</v>
      </c>
      <c r="H124" s="3" t="s">
        <v>1323</v>
      </c>
      <c r="I124" s="3" t="s">
        <v>1337</v>
      </c>
      <c r="J124" s="4" t="s">
        <v>21</v>
      </c>
      <c r="K124" s="6" t="s">
        <v>22</v>
      </c>
      <c r="L124" s="3"/>
      <c r="M124" s="4" t="s">
        <v>1315</v>
      </c>
    </row>
    <row r="125" customFormat="false" ht="15" hidden="false" customHeight="false" outlineLevel="0" collapsed="false">
      <c r="A125" s="7" t="s">
        <v>1354</v>
      </c>
      <c r="B125" s="7" t="s">
        <v>926</v>
      </c>
      <c r="C125" s="8" t="s">
        <v>31</v>
      </c>
      <c r="D125" s="7" t="s">
        <v>1355</v>
      </c>
      <c r="E125" s="7" t="s">
        <v>1356</v>
      </c>
      <c r="F125" s="7" t="s">
        <v>1347</v>
      </c>
      <c r="G125" s="9"/>
      <c r="H125" s="7" t="s">
        <v>1357</v>
      </c>
      <c r="I125" s="7" t="s">
        <v>1349</v>
      </c>
      <c r="J125" s="8" t="s">
        <v>21</v>
      </c>
      <c r="K125" s="6" t="s">
        <v>22</v>
      </c>
      <c r="L125" s="7"/>
      <c r="M125" s="8" t="s">
        <v>1315</v>
      </c>
    </row>
    <row r="126" customFormat="false" ht="15" hidden="false" customHeight="false" outlineLevel="0" collapsed="false">
      <c r="A126" s="3" t="s">
        <v>1365</v>
      </c>
      <c r="B126" s="3" t="s">
        <v>926</v>
      </c>
      <c r="C126" s="4" t="s">
        <v>31</v>
      </c>
      <c r="D126" s="3" t="s">
        <v>1366</v>
      </c>
      <c r="E126" s="3" t="s">
        <v>1367</v>
      </c>
      <c r="F126" s="3" t="s">
        <v>1347</v>
      </c>
      <c r="G126" s="5"/>
      <c r="H126" s="3" t="s">
        <v>1357</v>
      </c>
      <c r="I126" s="3" t="s">
        <v>1361</v>
      </c>
      <c r="J126" s="4" t="s">
        <v>21</v>
      </c>
      <c r="K126" s="6" t="s">
        <v>22</v>
      </c>
      <c r="L126" s="3"/>
      <c r="M126" s="4" t="s">
        <v>1315</v>
      </c>
    </row>
    <row r="127" customFormat="false" ht="15" hidden="false" customHeight="false" outlineLevel="0" collapsed="false">
      <c r="A127" s="7" t="s">
        <v>1375</v>
      </c>
      <c r="B127" s="7" t="s">
        <v>926</v>
      </c>
      <c r="C127" s="8" t="s">
        <v>31</v>
      </c>
      <c r="D127" s="7" t="s">
        <v>1376</v>
      </c>
      <c r="E127" s="7" t="s">
        <v>1377</v>
      </c>
      <c r="F127" s="7" t="s">
        <v>1347</v>
      </c>
      <c r="G127" s="9"/>
      <c r="H127" s="7" t="s">
        <v>1357</v>
      </c>
      <c r="I127" s="7" t="s">
        <v>1371</v>
      </c>
      <c r="J127" s="8" t="s">
        <v>21</v>
      </c>
      <c r="K127" s="6" t="s">
        <v>22</v>
      </c>
      <c r="L127" s="7"/>
      <c r="M127" s="8" t="s">
        <v>1315</v>
      </c>
    </row>
    <row r="128" customFormat="false" ht="15" hidden="false" customHeight="false" outlineLevel="0" collapsed="false">
      <c r="A128" s="3" t="s">
        <v>1389</v>
      </c>
      <c r="B128" s="3" t="s">
        <v>1379</v>
      </c>
      <c r="C128" s="4" t="s">
        <v>31</v>
      </c>
      <c r="D128" s="3" t="s">
        <v>1390</v>
      </c>
      <c r="E128" s="3" t="s">
        <v>1391</v>
      </c>
      <c r="F128" s="3" t="s">
        <v>1382</v>
      </c>
      <c r="G128" s="11" t="n">
        <v>2022</v>
      </c>
      <c r="H128" s="3" t="s">
        <v>1392</v>
      </c>
      <c r="I128" s="3" t="s">
        <v>1384</v>
      </c>
      <c r="J128" s="4" t="s">
        <v>21</v>
      </c>
      <c r="K128" s="6" t="s">
        <v>22</v>
      </c>
      <c r="L128" s="3"/>
      <c r="M128" s="4" t="s">
        <v>1315</v>
      </c>
    </row>
    <row r="129" customFormat="false" ht="15" hidden="false" customHeight="false" outlineLevel="0" collapsed="false">
      <c r="A129" s="7" t="s">
        <v>1400</v>
      </c>
      <c r="B129" s="7" t="s">
        <v>1379</v>
      </c>
      <c r="C129" s="8" t="s">
        <v>31</v>
      </c>
      <c r="D129" s="7" t="s">
        <v>1401</v>
      </c>
      <c r="E129" s="7" t="s">
        <v>1402</v>
      </c>
      <c r="F129" s="7" t="s">
        <v>1382</v>
      </c>
      <c r="G129" s="10" t="n">
        <v>2022</v>
      </c>
      <c r="H129" s="7" t="s">
        <v>1392</v>
      </c>
      <c r="I129" s="7" t="s">
        <v>1396</v>
      </c>
      <c r="J129" s="8" t="s">
        <v>21</v>
      </c>
      <c r="K129" s="6" t="s">
        <v>22</v>
      </c>
      <c r="L129" s="7"/>
      <c r="M129" s="8" t="s">
        <v>1315</v>
      </c>
    </row>
    <row r="130" customFormat="false" ht="15" hidden="false" customHeight="false" outlineLevel="0" collapsed="false">
      <c r="A130" s="3" t="s">
        <v>1410</v>
      </c>
      <c r="B130" s="3" t="s">
        <v>1379</v>
      </c>
      <c r="C130" s="4" t="s">
        <v>31</v>
      </c>
      <c r="D130" s="3" t="s">
        <v>1411</v>
      </c>
      <c r="E130" s="3" t="s">
        <v>1412</v>
      </c>
      <c r="F130" s="3" t="s">
        <v>1382</v>
      </c>
      <c r="G130" s="11" t="n">
        <v>2022</v>
      </c>
      <c r="H130" s="3" t="s">
        <v>1392</v>
      </c>
      <c r="I130" s="3" t="s">
        <v>1406</v>
      </c>
      <c r="J130" s="4" t="s">
        <v>21</v>
      </c>
      <c r="K130" s="6" t="s">
        <v>22</v>
      </c>
      <c r="L130" s="3"/>
      <c r="M130" s="4" t="s">
        <v>1315</v>
      </c>
    </row>
    <row r="131" customFormat="false" ht="15" hidden="false" customHeight="false" outlineLevel="0" collapsed="false">
      <c r="A131" s="7" t="s">
        <v>1424</v>
      </c>
      <c r="B131" s="7" t="s">
        <v>1414</v>
      </c>
      <c r="C131" s="8" t="s">
        <v>31</v>
      </c>
      <c r="D131" s="7" t="s">
        <v>1425</v>
      </c>
      <c r="E131" s="7" t="s">
        <v>1426</v>
      </c>
      <c r="F131" s="7" t="s">
        <v>1417</v>
      </c>
      <c r="G131" s="9"/>
      <c r="H131" s="7" t="s">
        <v>1427</v>
      </c>
      <c r="I131" s="7" t="s">
        <v>1419</v>
      </c>
      <c r="J131" s="8" t="s">
        <v>21</v>
      </c>
      <c r="K131" s="6" t="s">
        <v>22</v>
      </c>
      <c r="L131" s="7"/>
      <c r="M131" s="8" t="s">
        <v>1315</v>
      </c>
    </row>
    <row r="132" customFormat="false" ht="15" hidden="false" customHeight="false" outlineLevel="0" collapsed="false">
      <c r="A132" s="3" t="s">
        <v>1435</v>
      </c>
      <c r="B132" s="3" t="s">
        <v>1414</v>
      </c>
      <c r="C132" s="4" t="s">
        <v>31</v>
      </c>
      <c r="D132" s="3" t="s">
        <v>1436</v>
      </c>
      <c r="E132" s="3" t="s">
        <v>1437</v>
      </c>
      <c r="F132" s="3" t="s">
        <v>1417</v>
      </c>
      <c r="G132" s="5"/>
      <c r="H132" s="3" t="s">
        <v>1427</v>
      </c>
      <c r="I132" s="3" t="s">
        <v>1431</v>
      </c>
      <c r="J132" s="4" t="s">
        <v>21</v>
      </c>
      <c r="K132" s="6" t="s">
        <v>22</v>
      </c>
      <c r="L132" s="3"/>
      <c r="M132" s="4" t="s">
        <v>1315</v>
      </c>
    </row>
    <row r="133" customFormat="false" ht="15" hidden="false" customHeight="false" outlineLevel="0" collapsed="false">
      <c r="A133" s="7" t="s">
        <v>1448</v>
      </c>
      <c r="B133" s="7" t="s">
        <v>1414</v>
      </c>
      <c r="C133" s="8" t="s">
        <v>31</v>
      </c>
      <c r="D133" s="7" t="s">
        <v>1449</v>
      </c>
      <c r="E133" s="7" t="s">
        <v>1450</v>
      </c>
      <c r="F133" s="7" t="s">
        <v>1441</v>
      </c>
      <c r="G133" s="9"/>
      <c r="H133" s="7" t="s">
        <v>1451</v>
      </c>
      <c r="I133" s="7" t="s">
        <v>1443</v>
      </c>
      <c r="J133" s="8" t="s">
        <v>21</v>
      </c>
      <c r="K133" s="6" t="s">
        <v>22</v>
      </c>
      <c r="L133" s="7"/>
      <c r="M133" s="8" t="s">
        <v>1315</v>
      </c>
    </row>
    <row r="134" customFormat="false" ht="15" hidden="false" customHeight="false" outlineLevel="0" collapsed="false">
      <c r="A134" s="3" t="s">
        <v>1459</v>
      </c>
      <c r="B134" s="3" t="s">
        <v>1414</v>
      </c>
      <c r="C134" s="4" t="s">
        <v>31</v>
      </c>
      <c r="D134" s="3" t="s">
        <v>1460</v>
      </c>
      <c r="E134" s="3" t="s">
        <v>1461</v>
      </c>
      <c r="F134" s="3" t="s">
        <v>1441</v>
      </c>
      <c r="G134" s="5"/>
      <c r="H134" s="3" t="s">
        <v>1451</v>
      </c>
      <c r="I134" s="3" t="s">
        <v>1455</v>
      </c>
      <c r="J134" s="4" t="s">
        <v>21</v>
      </c>
      <c r="K134" s="6" t="s">
        <v>22</v>
      </c>
      <c r="L134" s="3"/>
      <c r="M134" s="4" t="s">
        <v>1315</v>
      </c>
    </row>
    <row r="135" customFormat="false" ht="15" hidden="false" customHeight="false" outlineLevel="0" collapsed="false">
      <c r="A135" s="7" t="s">
        <v>1471</v>
      </c>
      <c r="B135" s="7" t="s">
        <v>1463</v>
      </c>
      <c r="C135" s="8" t="s">
        <v>31</v>
      </c>
      <c r="D135" s="7" t="s">
        <v>1472</v>
      </c>
      <c r="E135" s="7" t="s">
        <v>1473</v>
      </c>
      <c r="F135" s="7" t="s">
        <v>1466</v>
      </c>
      <c r="G135" s="9"/>
      <c r="H135" s="7" t="s">
        <v>1451</v>
      </c>
      <c r="I135" s="7" t="s">
        <v>1467</v>
      </c>
      <c r="J135" s="8" t="s">
        <v>21</v>
      </c>
      <c r="K135" s="6" t="s">
        <v>22</v>
      </c>
      <c r="L135" s="7"/>
      <c r="M135" s="8" t="s">
        <v>1315</v>
      </c>
    </row>
    <row r="136" customFormat="false" ht="15" hidden="false" customHeight="false" outlineLevel="0" collapsed="false">
      <c r="A136" s="3" t="s">
        <v>1482</v>
      </c>
      <c r="B136" s="3" t="s">
        <v>1159</v>
      </c>
      <c r="C136" s="4" t="s">
        <v>31</v>
      </c>
      <c r="D136" s="3" t="s">
        <v>1483</v>
      </c>
      <c r="E136" s="3" t="s">
        <v>1484</v>
      </c>
      <c r="F136" s="3" t="s">
        <v>1477</v>
      </c>
      <c r="G136" s="5"/>
      <c r="H136" s="3" t="s">
        <v>1427</v>
      </c>
      <c r="I136" s="3" t="s">
        <v>1478</v>
      </c>
      <c r="J136" s="4" t="s">
        <v>21</v>
      </c>
      <c r="K136" s="6" t="s">
        <v>22</v>
      </c>
      <c r="L136" s="3"/>
      <c r="M136" s="4" t="s">
        <v>1315</v>
      </c>
    </row>
    <row r="137" customFormat="false" ht="15" hidden="false" customHeight="false" outlineLevel="0" collapsed="false">
      <c r="A137" s="7" t="s">
        <v>1493</v>
      </c>
      <c r="B137" s="7" t="s">
        <v>1159</v>
      </c>
      <c r="C137" s="8" t="s">
        <v>31</v>
      </c>
      <c r="D137" s="7" t="s">
        <v>1494</v>
      </c>
      <c r="E137" s="7" t="s">
        <v>1495</v>
      </c>
      <c r="F137" s="7" t="s">
        <v>1488</v>
      </c>
      <c r="G137" s="9"/>
      <c r="H137" s="7" t="s">
        <v>1427</v>
      </c>
      <c r="I137" s="7" t="s">
        <v>1489</v>
      </c>
      <c r="J137" s="8" t="s">
        <v>21</v>
      </c>
      <c r="K137" s="6" t="s">
        <v>22</v>
      </c>
      <c r="L137" s="7"/>
      <c r="M137" s="8" t="s">
        <v>1315</v>
      </c>
    </row>
    <row r="138" customFormat="false" ht="15" hidden="false" customHeight="false" outlineLevel="0" collapsed="false">
      <c r="A138" s="3" t="s">
        <v>1503</v>
      </c>
      <c r="B138" s="3" t="s">
        <v>1159</v>
      </c>
      <c r="C138" s="4" t="s">
        <v>31</v>
      </c>
      <c r="D138" s="3" t="s">
        <v>1504</v>
      </c>
      <c r="E138" s="3" t="s">
        <v>1505</v>
      </c>
      <c r="F138" s="3" t="s">
        <v>1477</v>
      </c>
      <c r="G138" s="5"/>
      <c r="H138" s="3" t="s">
        <v>1427</v>
      </c>
      <c r="I138" s="3" t="s">
        <v>1499</v>
      </c>
      <c r="J138" s="4" t="s">
        <v>21</v>
      </c>
      <c r="K138" s="6" t="s">
        <v>22</v>
      </c>
      <c r="L138" s="3"/>
      <c r="M138" s="4" t="s">
        <v>1315</v>
      </c>
    </row>
    <row r="139" customFormat="false" ht="15" hidden="false" customHeight="false" outlineLevel="0" collapsed="false">
      <c r="A139" s="7" t="s">
        <v>1513</v>
      </c>
      <c r="B139" s="7" t="s">
        <v>1414</v>
      </c>
      <c r="C139" s="8" t="s">
        <v>31</v>
      </c>
      <c r="D139" s="7" t="s">
        <v>1514</v>
      </c>
      <c r="E139" s="7" t="s">
        <v>1515</v>
      </c>
      <c r="F139" s="7" t="s">
        <v>1441</v>
      </c>
      <c r="G139" s="9"/>
      <c r="H139" s="7" t="s">
        <v>1451</v>
      </c>
      <c r="I139" s="7" t="s">
        <v>1509</v>
      </c>
      <c r="J139" s="8" t="s">
        <v>21</v>
      </c>
      <c r="K139" s="6" t="s">
        <v>22</v>
      </c>
      <c r="L139" s="7"/>
      <c r="M139" s="8" t="s">
        <v>1315</v>
      </c>
    </row>
    <row r="140" customFormat="false" ht="15" hidden="false" customHeight="false" outlineLevel="0" collapsed="false">
      <c r="A140" s="3" t="s">
        <v>1524</v>
      </c>
      <c r="B140" s="3" t="s">
        <v>1159</v>
      </c>
      <c r="C140" s="4" t="s">
        <v>31</v>
      </c>
      <c r="D140" s="3" t="s">
        <v>1525</v>
      </c>
      <c r="E140" s="3" t="s">
        <v>1526</v>
      </c>
      <c r="F140" s="3" t="s">
        <v>1519</v>
      </c>
      <c r="G140" s="5"/>
      <c r="H140" s="3" t="s">
        <v>1427</v>
      </c>
      <c r="I140" s="3" t="s">
        <v>1520</v>
      </c>
      <c r="J140" s="4" t="s">
        <v>21</v>
      </c>
      <c r="K140" s="6" t="s">
        <v>22</v>
      </c>
      <c r="L140" s="3"/>
      <c r="M140" s="4" t="s">
        <v>1315</v>
      </c>
    </row>
    <row r="141" customFormat="false" ht="15" hidden="false" customHeight="false" outlineLevel="0" collapsed="false">
      <c r="A141" s="7" t="s">
        <v>1535</v>
      </c>
      <c r="B141" s="7" t="s">
        <v>1094</v>
      </c>
      <c r="C141" s="8" t="s">
        <v>31</v>
      </c>
      <c r="D141" s="7" t="s">
        <v>1536</v>
      </c>
      <c r="E141" s="7" t="s">
        <v>1537</v>
      </c>
      <c r="F141" s="7" t="s">
        <v>1530</v>
      </c>
      <c r="G141" s="9"/>
      <c r="H141" s="7" t="s">
        <v>1451</v>
      </c>
      <c r="I141" s="7" t="s">
        <v>1531</v>
      </c>
      <c r="J141" s="8" t="s">
        <v>21</v>
      </c>
      <c r="K141" s="6" t="s">
        <v>22</v>
      </c>
      <c r="L141" s="7"/>
      <c r="M141" s="8" t="s">
        <v>1315</v>
      </c>
    </row>
    <row r="142" customFormat="false" ht="15" hidden="false" customHeight="false" outlineLevel="0" collapsed="false">
      <c r="A142" s="3" t="s">
        <v>1549</v>
      </c>
      <c r="B142" s="3" t="s">
        <v>91</v>
      </c>
      <c r="C142" s="4" t="s">
        <v>31</v>
      </c>
      <c r="D142" s="3" t="s">
        <v>1550</v>
      </c>
      <c r="E142" s="14" t="s">
        <v>1551</v>
      </c>
      <c r="F142" s="3" t="s">
        <v>34</v>
      </c>
      <c r="G142" s="11" t="n">
        <v>2026</v>
      </c>
      <c r="H142" s="3" t="s">
        <v>1552</v>
      </c>
      <c r="I142" s="3" t="s">
        <v>1542</v>
      </c>
      <c r="J142" s="4" t="s">
        <v>1543</v>
      </c>
      <c r="K142" s="6" t="s">
        <v>22</v>
      </c>
      <c r="L142" s="3"/>
      <c r="M142" s="4" t="s">
        <v>1544</v>
      </c>
    </row>
    <row r="143" customFormat="false" ht="15" hidden="false" customHeight="false" outlineLevel="0" collapsed="false">
      <c r="A143" s="7" t="s">
        <v>1562</v>
      </c>
      <c r="B143" s="7" t="s">
        <v>448</v>
      </c>
      <c r="C143" s="8" t="s">
        <v>31</v>
      </c>
      <c r="D143" s="7" t="s">
        <v>1563</v>
      </c>
      <c r="E143" s="15" t="s">
        <v>1564</v>
      </c>
      <c r="F143" s="7" t="s">
        <v>34</v>
      </c>
      <c r="G143" s="10" t="n">
        <v>2026</v>
      </c>
      <c r="H143" s="7" t="s">
        <v>1565</v>
      </c>
      <c r="I143" s="7" t="s">
        <v>1557</v>
      </c>
      <c r="J143" s="8" t="s">
        <v>1543</v>
      </c>
      <c r="K143" s="6" t="s">
        <v>22</v>
      </c>
      <c r="L143" s="7"/>
      <c r="M143" s="8" t="s">
        <v>1544</v>
      </c>
    </row>
    <row r="144" customFormat="false" ht="15" hidden="false" customHeight="false" outlineLevel="0" collapsed="false">
      <c r="A144" s="3" t="s">
        <v>1575</v>
      </c>
      <c r="B144" s="3" t="s">
        <v>864</v>
      </c>
      <c r="C144" s="4" t="s">
        <v>31</v>
      </c>
      <c r="D144" s="3" t="s">
        <v>1576</v>
      </c>
      <c r="E144" s="14" t="s">
        <v>1577</v>
      </c>
      <c r="F144" s="3" t="s">
        <v>34</v>
      </c>
      <c r="G144" s="5"/>
      <c r="H144" s="3" t="s">
        <v>1578</v>
      </c>
      <c r="I144" s="3" t="s">
        <v>1570</v>
      </c>
      <c r="J144" s="4" t="s">
        <v>1543</v>
      </c>
      <c r="K144" s="6" t="s">
        <v>22</v>
      </c>
      <c r="L144" s="3"/>
      <c r="M144" s="4" t="s">
        <v>1544</v>
      </c>
    </row>
    <row r="145" customFormat="false" ht="15" hidden="false" customHeight="false" outlineLevel="0" collapsed="false">
      <c r="A145" s="7" t="s">
        <v>1588</v>
      </c>
      <c r="B145" s="7" t="s">
        <v>14</v>
      </c>
      <c r="C145" s="8" t="s">
        <v>31</v>
      </c>
      <c r="D145" s="7" t="s">
        <v>1589</v>
      </c>
      <c r="E145" s="15" t="s">
        <v>1590</v>
      </c>
      <c r="F145" s="7" t="s">
        <v>34</v>
      </c>
      <c r="G145" s="9"/>
      <c r="H145" s="7" t="s">
        <v>1591</v>
      </c>
      <c r="I145" s="7" t="s">
        <v>1583</v>
      </c>
      <c r="J145" s="8" t="s">
        <v>1543</v>
      </c>
      <c r="K145" s="6" t="s">
        <v>22</v>
      </c>
      <c r="L145" s="7"/>
      <c r="M145" s="8" t="s">
        <v>1544</v>
      </c>
    </row>
    <row r="146" customFormat="false" ht="15" hidden="false" customHeight="false" outlineLevel="0" collapsed="false">
      <c r="A146" s="3" t="s">
        <v>1601</v>
      </c>
      <c r="B146" s="3" t="s">
        <v>620</v>
      </c>
      <c r="C146" s="4" t="s">
        <v>31</v>
      </c>
      <c r="D146" s="3" t="s">
        <v>1602</v>
      </c>
      <c r="E146" s="14" t="s">
        <v>1603</v>
      </c>
      <c r="F146" s="3" t="s">
        <v>692</v>
      </c>
      <c r="G146" s="11" t="n">
        <v>2026</v>
      </c>
      <c r="H146" s="3" t="s">
        <v>1604</v>
      </c>
      <c r="I146" s="3" t="s">
        <v>1596</v>
      </c>
      <c r="J146" s="4" t="s">
        <v>1543</v>
      </c>
      <c r="K146" s="6" t="s">
        <v>22</v>
      </c>
      <c r="L146" s="3"/>
      <c r="M146" s="4" t="s">
        <v>1544</v>
      </c>
    </row>
    <row r="147" customFormat="false" ht="15" hidden="false" customHeight="false" outlineLevel="0" collapsed="false">
      <c r="A147" s="7" t="s">
        <v>1616</v>
      </c>
      <c r="B147" s="7" t="s">
        <v>448</v>
      </c>
      <c r="C147" s="8" t="s">
        <v>31</v>
      </c>
      <c r="D147" s="7" t="s">
        <v>1617</v>
      </c>
      <c r="E147" s="15" t="s">
        <v>1618</v>
      </c>
      <c r="F147" s="7" t="s">
        <v>1619</v>
      </c>
      <c r="G147" s="10" t="n">
        <v>2026</v>
      </c>
      <c r="H147" s="7" t="s">
        <v>1620</v>
      </c>
      <c r="I147" s="7" t="s">
        <v>1610</v>
      </c>
      <c r="J147" s="8" t="s">
        <v>1543</v>
      </c>
      <c r="K147" s="6" t="s">
        <v>22</v>
      </c>
      <c r="L147" s="7"/>
      <c r="M147" s="8" t="s">
        <v>1544</v>
      </c>
    </row>
    <row r="148" customFormat="false" ht="15" hidden="false" customHeight="false" outlineLevel="0" collapsed="false">
      <c r="A148" s="3" t="s">
        <v>1632</v>
      </c>
      <c r="B148" s="3" t="s">
        <v>695</v>
      </c>
      <c r="C148" s="4" t="s">
        <v>31</v>
      </c>
      <c r="D148" s="3" t="s">
        <v>1633</v>
      </c>
      <c r="E148" s="14" t="s">
        <v>1634</v>
      </c>
      <c r="F148" s="3" t="s">
        <v>1635</v>
      </c>
      <c r="G148" s="11" t="n">
        <v>2026</v>
      </c>
      <c r="H148" s="3" t="s">
        <v>1636</v>
      </c>
      <c r="I148" s="3" t="s">
        <v>1626</v>
      </c>
      <c r="J148" s="4" t="s">
        <v>1543</v>
      </c>
      <c r="K148" s="6" t="s">
        <v>22</v>
      </c>
      <c r="L148" s="3"/>
      <c r="M148" s="4" t="s">
        <v>1544</v>
      </c>
    </row>
    <row r="149" customFormat="false" ht="15" hidden="false" customHeight="false" outlineLevel="0" collapsed="false">
      <c r="A149" s="7" t="s">
        <v>1648</v>
      </c>
      <c r="B149" s="7" t="s">
        <v>91</v>
      </c>
      <c r="C149" s="8" t="s">
        <v>31</v>
      </c>
      <c r="D149" s="7" t="s">
        <v>1649</v>
      </c>
      <c r="E149" s="15" t="s">
        <v>1650</v>
      </c>
      <c r="F149" s="7" t="s">
        <v>1651</v>
      </c>
      <c r="G149" s="9"/>
      <c r="H149" s="7" t="s">
        <v>1652</v>
      </c>
      <c r="I149" s="7" t="s">
        <v>1642</v>
      </c>
      <c r="J149" s="8" t="s">
        <v>1543</v>
      </c>
      <c r="K149" s="6" t="s">
        <v>22</v>
      </c>
      <c r="L149" s="7"/>
      <c r="M149" s="8" t="s">
        <v>1544</v>
      </c>
    </row>
    <row r="150" customFormat="false" ht="15" hidden="false" customHeight="false" outlineLevel="0" collapsed="false">
      <c r="A150" s="3" t="s">
        <v>1662</v>
      </c>
      <c r="B150" s="3" t="s">
        <v>1060</v>
      </c>
      <c r="C150" s="4" t="s">
        <v>31</v>
      </c>
      <c r="D150" s="3" t="s">
        <v>1663</v>
      </c>
      <c r="E150" s="14" t="s">
        <v>1664</v>
      </c>
      <c r="F150" s="3" t="s">
        <v>1072</v>
      </c>
      <c r="G150" s="5"/>
      <c r="H150" s="3" t="s">
        <v>1665</v>
      </c>
      <c r="I150" s="3" t="s">
        <v>1657</v>
      </c>
      <c r="J150" s="4" t="s">
        <v>1543</v>
      </c>
      <c r="K150" s="6" t="s">
        <v>22</v>
      </c>
      <c r="L150" s="3"/>
      <c r="M150" s="4" t="s">
        <v>1544</v>
      </c>
    </row>
    <row r="151" customFormat="false" ht="15" hidden="false" customHeight="false" outlineLevel="0" collapsed="false">
      <c r="A151" s="7" t="s">
        <v>1677</v>
      </c>
      <c r="B151" s="7" t="s">
        <v>448</v>
      </c>
      <c r="C151" s="8" t="s">
        <v>31</v>
      </c>
      <c r="D151" s="7" t="s">
        <v>1678</v>
      </c>
      <c r="E151" s="15" t="s">
        <v>1679</v>
      </c>
      <c r="F151" s="7" t="s">
        <v>1680</v>
      </c>
      <c r="G151" s="9"/>
      <c r="H151" s="7" t="s">
        <v>1681</v>
      </c>
      <c r="I151" s="7" t="s">
        <v>1671</v>
      </c>
      <c r="J151" s="8" t="s">
        <v>1543</v>
      </c>
      <c r="K151" s="6" t="s">
        <v>22</v>
      </c>
      <c r="L151" s="7"/>
      <c r="M151" s="8" t="s">
        <v>1544</v>
      </c>
    </row>
    <row r="152" customFormat="false" ht="15" hidden="false" customHeight="false" outlineLevel="0" collapsed="false">
      <c r="A152" s="3" t="s">
        <v>1693</v>
      </c>
      <c r="B152" s="3" t="s">
        <v>448</v>
      </c>
      <c r="C152" s="4" t="s">
        <v>31</v>
      </c>
      <c r="D152" s="3" t="s">
        <v>1694</v>
      </c>
      <c r="E152" s="14" t="s">
        <v>1695</v>
      </c>
      <c r="F152" s="3" t="s">
        <v>1696</v>
      </c>
      <c r="G152" s="11" t="n">
        <v>2026</v>
      </c>
      <c r="H152" s="3" t="s">
        <v>1697</v>
      </c>
      <c r="I152" s="3" t="s">
        <v>1687</v>
      </c>
      <c r="J152" s="4" t="s">
        <v>1543</v>
      </c>
      <c r="K152" s="6" t="s">
        <v>22</v>
      </c>
      <c r="L152" s="3"/>
      <c r="M152" s="4" t="s">
        <v>1544</v>
      </c>
    </row>
    <row r="153" customFormat="false" ht="15" hidden="false" customHeight="false" outlineLevel="0" collapsed="false">
      <c r="A153" s="7" t="s">
        <v>1709</v>
      </c>
      <c r="B153" s="7" t="s">
        <v>823</v>
      </c>
      <c r="C153" s="8" t="s">
        <v>31</v>
      </c>
      <c r="D153" s="7" t="s">
        <v>1710</v>
      </c>
      <c r="E153" s="15" t="s">
        <v>1711</v>
      </c>
      <c r="F153" s="7" t="s">
        <v>1712</v>
      </c>
      <c r="G153" s="9"/>
      <c r="H153" s="7" t="s">
        <v>1713</v>
      </c>
      <c r="I153" s="7" t="s">
        <v>1703</v>
      </c>
      <c r="J153" s="8" t="s">
        <v>1543</v>
      </c>
      <c r="K153" s="6" t="s">
        <v>22</v>
      </c>
      <c r="L153" s="7"/>
      <c r="M153" s="8" t="s">
        <v>1544</v>
      </c>
    </row>
    <row r="154" customFormat="false" ht="15" hidden="false" customHeight="false" outlineLevel="0" collapsed="false">
      <c r="A154" s="3" t="s">
        <v>1725</v>
      </c>
      <c r="B154" s="3" t="s">
        <v>14</v>
      </c>
      <c r="C154" s="4" t="s">
        <v>31</v>
      </c>
      <c r="D154" s="3" t="s">
        <v>1726</v>
      </c>
      <c r="E154" s="14" t="s">
        <v>1727</v>
      </c>
      <c r="F154" s="3" t="s">
        <v>1728</v>
      </c>
      <c r="G154" s="5"/>
      <c r="H154" s="3" t="s">
        <v>1729</v>
      </c>
      <c r="I154" s="3" t="s">
        <v>1719</v>
      </c>
      <c r="J154" s="4" t="s">
        <v>1543</v>
      </c>
      <c r="K154" s="6" t="s">
        <v>22</v>
      </c>
      <c r="L154" s="3"/>
      <c r="M154" s="4" t="s">
        <v>1544</v>
      </c>
    </row>
    <row r="155" customFormat="false" ht="15" hidden="false" customHeight="false" outlineLevel="0" collapsed="false">
      <c r="A155" s="7" t="s">
        <v>1739</v>
      </c>
      <c r="B155" s="7" t="s">
        <v>91</v>
      </c>
      <c r="C155" s="8" t="s">
        <v>31</v>
      </c>
      <c r="D155" s="7" t="s">
        <v>1740</v>
      </c>
      <c r="E155" s="7" t="s">
        <v>1741</v>
      </c>
      <c r="F155" s="7" t="s">
        <v>1728</v>
      </c>
      <c r="G155" s="9"/>
      <c r="H155" s="7" t="s">
        <v>1742</v>
      </c>
      <c r="I155" s="7" t="s">
        <v>1734</v>
      </c>
      <c r="J155" s="8" t="s">
        <v>21</v>
      </c>
      <c r="K155" s="6" t="s">
        <v>22</v>
      </c>
      <c r="L155" s="7"/>
      <c r="M155" s="8" t="s">
        <v>1544</v>
      </c>
    </row>
    <row r="156" customFormat="false" ht="15" hidden="false" customHeight="false" outlineLevel="0" collapsed="false">
      <c r="A156" s="3" t="s">
        <v>1750</v>
      </c>
      <c r="B156" s="3" t="s">
        <v>823</v>
      </c>
      <c r="C156" s="4" t="s">
        <v>31</v>
      </c>
      <c r="D156" s="3" t="s">
        <v>1751</v>
      </c>
      <c r="E156" s="3" t="s">
        <v>1752</v>
      </c>
      <c r="F156" s="3" t="s">
        <v>1728</v>
      </c>
      <c r="G156" s="5"/>
      <c r="H156" s="3" t="s">
        <v>1742</v>
      </c>
      <c r="I156" s="3" t="s">
        <v>1746</v>
      </c>
      <c r="J156" s="4" t="s">
        <v>21</v>
      </c>
      <c r="K156" s="6" t="s">
        <v>22</v>
      </c>
      <c r="L156" s="3"/>
      <c r="M156" s="4" t="s">
        <v>1544</v>
      </c>
    </row>
    <row r="157" customFormat="false" ht="15" hidden="false" customHeight="false" outlineLevel="0" collapsed="false">
      <c r="A157" s="7" t="s">
        <v>1760</v>
      </c>
      <c r="B157" s="7" t="s">
        <v>758</v>
      </c>
      <c r="C157" s="8" t="s">
        <v>31</v>
      </c>
      <c r="D157" s="7" t="s">
        <v>1761</v>
      </c>
      <c r="E157" s="7" t="s">
        <v>1762</v>
      </c>
      <c r="F157" s="7" t="s">
        <v>1728</v>
      </c>
      <c r="G157" s="9"/>
      <c r="H157" s="7" t="s">
        <v>1742</v>
      </c>
      <c r="I157" s="7" t="s">
        <v>1756</v>
      </c>
      <c r="J157" s="8" t="s">
        <v>21</v>
      </c>
      <c r="K157" s="6" t="s">
        <v>22</v>
      </c>
      <c r="L157" s="7"/>
      <c r="M157" s="8" t="s">
        <v>1544</v>
      </c>
    </row>
    <row r="158" customFormat="false" ht="15" hidden="false" customHeight="false" outlineLevel="0" collapsed="false">
      <c r="A158" s="3" t="s">
        <v>1776</v>
      </c>
      <c r="B158" s="3" t="s">
        <v>1764</v>
      </c>
      <c r="C158" s="4" t="s">
        <v>31</v>
      </c>
      <c r="D158" s="3" t="s">
        <v>1777</v>
      </c>
      <c r="E158" s="3" t="s">
        <v>1778</v>
      </c>
      <c r="F158" s="3" t="s">
        <v>34</v>
      </c>
      <c r="G158" s="11" t="n">
        <v>2026</v>
      </c>
      <c r="H158" s="3" t="s">
        <v>1779</v>
      </c>
      <c r="I158" s="3" t="s">
        <v>1768</v>
      </c>
      <c r="J158" s="4" t="s">
        <v>1769</v>
      </c>
      <c r="K158" s="16" t="s">
        <v>1770</v>
      </c>
      <c r="L158" s="3"/>
      <c r="M158" s="4" t="s">
        <v>1771</v>
      </c>
    </row>
    <row r="159" customFormat="false" ht="15" hidden="false" customHeight="false" outlineLevel="0" collapsed="false">
      <c r="A159" s="7" t="s">
        <v>1787</v>
      </c>
      <c r="B159" s="7" t="s">
        <v>1764</v>
      </c>
      <c r="C159" s="8" t="s">
        <v>31</v>
      </c>
      <c r="D159" s="7" t="s">
        <v>1788</v>
      </c>
      <c r="E159" s="7" t="s">
        <v>1778</v>
      </c>
      <c r="F159" s="7" t="s">
        <v>34</v>
      </c>
      <c r="G159" s="9"/>
      <c r="H159" s="7" t="s">
        <v>1789</v>
      </c>
      <c r="I159" s="7" t="s">
        <v>1783</v>
      </c>
      <c r="J159" s="8" t="s">
        <v>1769</v>
      </c>
      <c r="K159" s="16" t="s">
        <v>1770</v>
      </c>
      <c r="L159" s="7"/>
      <c r="M159" s="8" t="s">
        <v>1771</v>
      </c>
    </row>
    <row r="160" customFormat="false" ht="15" hidden="false" customHeight="false" outlineLevel="0" collapsed="false">
      <c r="A160" s="3" t="s">
        <v>1797</v>
      </c>
      <c r="B160" s="3" t="s">
        <v>1764</v>
      </c>
      <c r="C160" s="4" t="s">
        <v>31</v>
      </c>
      <c r="D160" s="3" t="s">
        <v>1798</v>
      </c>
      <c r="E160" s="3" t="s">
        <v>1778</v>
      </c>
      <c r="F160" s="3" t="s">
        <v>34</v>
      </c>
      <c r="G160" s="5"/>
      <c r="H160" s="3" t="s">
        <v>1799</v>
      </c>
      <c r="I160" s="3" t="s">
        <v>1793</v>
      </c>
      <c r="J160" s="4" t="s">
        <v>1769</v>
      </c>
      <c r="K160" s="16" t="s">
        <v>1770</v>
      </c>
      <c r="L160" s="3"/>
      <c r="M160" s="4" t="s">
        <v>1771</v>
      </c>
    </row>
    <row r="161" customFormat="false" ht="15" hidden="false" customHeight="false" outlineLevel="0" collapsed="false">
      <c r="A161" s="7" t="s">
        <v>1807</v>
      </c>
      <c r="B161" s="7" t="s">
        <v>1764</v>
      </c>
      <c r="C161" s="8" t="s">
        <v>31</v>
      </c>
      <c r="D161" s="7" t="s">
        <v>1808</v>
      </c>
      <c r="E161" s="7" t="s">
        <v>1778</v>
      </c>
      <c r="F161" s="7" t="s">
        <v>34</v>
      </c>
      <c r="G161" s="9"/>
      <c r="H161" s="7" t="s">
        <v>1809</v>
      </c>
      <c r="I161" s="7" t="s">
        <v>1803</v>
      </c>
      <c r="J161" s="8" t="s">
        <v>1769</v>
      </c>
      <c r="K161" s="16" t="s">
        <v>1770</v>
      </c>
      <c r="L161" s="7"/>
      <c r="M161" s="8" t="s">
        <v>1771</v>
      </c>
    </row>
    <row r="162" customFormat="false" ht="15" hidden="false" customHeight="false" outlineLevel="0" collapsed="false">
      <c r="A162" s="3" t="s">
        <v>1817</v>
      </c>
      <c r="B162" s="3" t="s">
        <v>1764</v>
      </c>
      <c r="C162" s="4" t="s">
        <v>31</v>
      </c>
      <c r="D162" s="3" t="s">
        <v>1818</v>
      </c>
      <c r="E162" s="3" t="s">
        <v>1778</v>
      </c>
      <c r="F162" s="3" t="s">
        <v>34</v>
      </c>
      <c r="G162" s="5"/>
      <c r="H162" s="3" t="s">
        <v>1819</v>
      </c>
      <c r="I162" s="3" t="s">
        <v>1813</v>
      </c>
      <c r="J162" s="4" t="s">
        <v>1769</v>
      </c>
      <c r="K162" s="16" t="s">
        <v>1770</v>
      </c>
      <c r="L162" s="3"/>
      <c r="M162" s="4" t="s">
        <v>1771</v>
      </c>
    </row>
    <row r="163" customFormat="false" ht="15" hidden="false" customHeight="false" outlineLevel="0" collapsed="false">
      <c r="A163" s="7" t="s">
        <v>1827</v>
      </c>
      <c r="B163" s="7" t="s">
        <v>1764</v>
      </c>
      <c r="C163" s="8" t="s">
        <v>31</v>
      </c>
      <c r="D163" s="7" t="s">
        <v>1828</v>
      </c>
      <c r="E163" s="7" t="s">
        <v>1778</v>
      </c>
      <c r="F163" s="7" t="s">
        <v>34</v>
      </c>
      <c r="G163" s="9"/>
      <c r="H163" s="7" t="s">
        <v>1829</v>
      </c>
      <c r="I163" s="7" t="s">
        <v>1823</v>
      </c>
      <c r="J163" s="8" t="s">
        <v>1769</v>
      </c>
      <c r="K163" s="16" t="s">
        <v>1770</v>
      </c>
      <c r="L163" s="7"/>
      <c r="M163" s="8" t="s">
        <v>1771</v>
      </c>
    </row>
    <row r="164" customFormat="false" ht="15" hidden="false" customHeight="false" outlineLevel="0" collapsed="false">
      <c r="A164" s="3" t="s">
        <v>1837</v>
      </c>
      <c r="B164" s="3" t="s">
        <v>1764</v>
      </c>
      <c r="C164" s="4" t="s">
        <v>31</v>
      </c>
      <c r="D164" s="3" t="s">
        <v>1838</v>
      </c>
      <c r="E164" s="3" t="s">
        <v>1778</v>
      </c>
      <c r="F164" s="3" t="s">
        <v>34</v>
      </c>
      <c r="G164" s="5"/>
      <c r="H164" s="3" t="s">
        <v>1839</v>
      </c>
      <c r="I164" s="3" t="s">
        <v>1833</v>
      </c>
      <c r="J164" s="4" t="s">
        <v>1769</v>
      </c>
      <c r="K164" s="16" t="s">
        <v>1770</v>
      </c>
      <c r="L164" s="3"/>
      <c r="M164" s="4" t="s">
        <v>1771</v>
      </c>
    </row>
    <row r="165" customFormat="false" ht="15" hidden="false" customHeight="false" outlineLevel="0" collapsed="false">
      <c r="A165" s="7" t="s">
        <v>1847</v>
      </c>
      <c r="B165" s="7" t="s">
        <v>1764</v>
      </c>
      <c r="C165" s="8" t="s">
        <v>31</v>
      </c>
      <c r="D165" s="7" t="s">
        <v>1848</v>
      </c>
      <c r="E165" s="7" t="s">
        <v>1778</v>
      </c>
      <c r="F165" s="7" t="s">
        <v>34</v>
      </c>
      <c r="G165" s="9"/>
      <c r="H165" s="7" t="s">
        <v>1849</v>
      </c>
      <c r="I165" s="7" t="s">
        <v>1843</v>
      </c>
      <c r="J165" s="8" t="s">
        <v>1769</v>
      </c>
      <c r="K165" s="16" t="s">
        <v>1770</v>
      </c>
      <c r="L165" s="7"/>
      <c r="M165" s="8" t="s">
        <v>1771</v>
      </c>
    </row>
    <row r="166" customFormat="false" ht="15" hidden="false" customHeight="false" outlineLevel="0" collapsed="false">
      <c r="A166" s="3" t="s">
        <v>1857</v>
      </c>
      <c r="B166" s="3" t="s">
        <v>1764</v>
      </c>
      <c r="C166" s="4" t="s">
        <v>31</v>
      </c>
      <c r="D166" s="3" t="s">
        <v>1858</v>
      </c>
      <c r="E166" s="3" t="s">
        <v>1778</v>
      </c>
      <c r="F166" s="3" t="s">
        <v>34</v>
      </c>
      <c r="G166" s="11" t="n">
        <v>2026</v>
      </c>
      <c r="H166" s="3" t="s">
        <v>1859</v>
      </c>
      <c r="I166" s="3" t="s">
        <v>1853</v>
      </c>
      <c r="J166" s="4" t="s">
        <v>1769</v>
      </c>
      <c r="K166" s="16" t="s">
        <v>1770</v>
      </c>
      <c r="L166" s="3"/>
      <c r="M166" s="4" t="s">
        <v>1771</v>
      </c>
    </row>
    <row r="167" customFormat="false" ht="15" hidden="false" customHeight="false" outlineLevel="0" collapsed="false">
      <c r="A167" s="7" t="s">
        <v>1867</v>
      </c>
      <c r="B167" s="7" t="s">
        <v>1764</v>
      </c>
      <c r="C167" s="8" t="s">
        <v>31</v>
      </c>
      <c r="D167" s="7" t="s">
        <v>1868</v>
      </c>
      <c r="E167" s="7" t="s">
        <v>1778</v>
      </c>
      <c r="F167" s="7" t="s">
        <v>34</v>
      </c>
      <c r="G167" s="9"/>
      <c r="H167" s="7" t="s">
        <v>1869</v>
      </c>
      <c r="I167" s="7" t="s">
        <v>1863</v>
      </c>
      <c r="J167" s="8" t="s">
        <v>1769</v>
      </c>
      <c r="K167" s="16" t="s">
        <v>1770</v>
      </c>
      <c r="L167" s="7"/>
      <c r="M167" s="8" t="s">
        <v>1771</v>
      </c>
    </row>
    <row r="168" customFormat="false" ht="15" hidden="false" customHeight="false" outlineLevel="0" collapsed="false">
      <c r="A168" s="3" t="s">
        <v>1880</v>
      </c>
      <c r="B168" s="3" t="s">
        <v>620</v>
      </c>
      <c r="C168" s="4" t="s">
        <v>31</v>
      </c>
      <c r="D168" s="3" t="s">
        <v>1881</v>
      </c>
      <c r="E168" s="3" t="s">
        <v>1882</v>
      </c>
      <c r="F168" s="3" t="s">
        <v>692</v>
      </c>
      <c r="G168" s="11" t="n">
        <v>2026</v>
      </c>
      <c r="H168" s="3" t="s">
        <v>1883</v>
      </c>
      <c r="I168" s="3" t="s">
        <v>1874</v>
      </c>
      <c r="J168" s="4" t="s">
        <v>1875</v>
      </c>
      <c r="K168" s="6" t="s">
        <v>22</v>
      </c>
      <c r="L168" s="3"/>
      <c r="M168" s="4" t="s">
        <v>1771</v>
      </c>
    </row>
    <row r="169" customFormat="false" ht="15" hidden="false" customHeight="false" outlineLevel="0" collapsed="false">
      <c r="A169" s="7" t="s">
        <v>1893</v>
      </c>
      <c r="B169" s="7" t="s">
        <v>620</v>
      </c>
      <c r="C169" s="8" t="s">
        <v>31</v>
      </c>
      <c r="D169" s="7" t="s">
        <v>1894</v>
      </c>
      <c r="E169" s="7" t="s">
        <v>1895</v>
      </c>
      <c r="F169" s="7" t="s">
        <v>692</v>
      </c>
      <c r="G169" s="10" t="n">
        <v>2026</v>
      </c>
      <c r="H169" s="7" t="s">
        <v>1896</v>
      </c>
      <c r="I169" s="7" t="s">
        <v>1888</v>
      </c>
      <c r="J169" s="8" t="s">
        <v>1875</v>
      </c>
      <c r="K169" s="6" t="s">
        <v>22</v>
      </c>
      <c r="L169" s="7"/>
      <c r="M169" s="8" t="s">
        <v>1771</v>
      </c>
    </row>
    <row r="170" customFormat="false" ht="15" hidden="false" customHeight="false" outlineLevel="0" collapsed="false">
      <c r="A170" s="3" t="s">
        <v>1906</v>
      </c>
      <c r="B170" s="3" t="s">
        <v>448</v>
      </c>
      <c r="C170" s="4" t="s">
        <v>31</v>
      </c>
      <c r="D170" s="3" t="s">
        <v>1907</v>
      </c>
      <c r="E170" s="3" t="s">
        <v>1908</v>
      </c>
      <c r="F170" s="3" t="s">
        <v>34</v>
      </c>
      <c r="G170" s="11" t="n">
        <v>2026</v>
      </c>
      <c r="H170" s="3" t="s">
        <v>1909</v>
      </c>
      <c r="I170" s="3" t="s">
        <v>1901</v>
      </c>
      <c r="J170" s="4" t="s">
        <v>1875</v>
      </c>
      <c r="K170" s="6" t="s">
        <v>22</v>
      </c>
      <c r="L170" s="3"/>
      <c r="M170" s="4" t="s">
        <v>1771</v>
      </c>
    </row>
    <row r="171" customFormat="false" ht="15" hidden="false" customHeight="false" outlineLevel="0" collapsed="false">
      <c r="A171" s="7" t="s">
        <v>1919</v>
      </c>
      <c r="B171" s="7" t="s">
        <v>448</v>
      </c>
      <c r="C171" s="8" t="s">
        <v>31</v>
      </c>
      <c r="D171" s="7" t="s">
        <v>1920</v>
      </c>
      <c r="E171" s="7" t="s">
        <v>1921</v>
      </c>
      <c r="F171" s="7" t="s">
        <v>34</v>
      </c>
      <c r="G171" s="10" t="n">
        <v>2026</v>
      </c>
      <c r="H171" s="7" t="s">
        <v>1922</v>
      </c>
      <c r="I171" s="7" t="s">
        <v>1914</v>
      </c>
      <c r="J171" s="8" t="s">
        <v>1875</v>
      </c>
      <c r="K171" s="6" t="s">
        <v>22</v>
      </c>
      <c r="L171" s="7"/>
      <c r="M171" s="8" t="s">
        <v>1771</v>
      </c>
    </row>
    <row r="172" customFormat="false" ht="15" hidden="false" customHeight="false" outlineLevel="0" collapsed="false">
      <c r="A172" s="3" t="s">
        <v>1932</v>
      </c>
      <c r="B172" s="3" t="s">
        <v>91</v>
      </c>
      <c r="C172" s="4" t="s">
        <v>31</v>
      </c>
      <c r="D172" s="3" t="s">
        <v>1933</v>
      </c>
      <c r="E172" s="3" t="s">
        <v>1934</v>
      </c>
      <c r="F172" s="3" t="s">
        <v>34</v>
      </c>
      <c r="G172" s="5"/>
      <c r="H172" s="3" t="s">
        <v>1935</v>
      </c>
      <c r="I172" s="3" t="s">
        <v>1927</v>
      </c>
      <c r="J172" s="4" t="s">
        <v>1875</v>
      </c>
      <c r="K172" s="6" t="s">
        <v>22</v>
      </c>
      <c r="L172" s="3"/>
      <c r="M172" s="4" t="s">
        <v>1771</v>
      </c>
    </row>
    <row r="173" customFormat="false" ht="15" hidden="false" customHeight="false" outlineLevel="0" collapsed="false">
      <c r="A173" s="7" t="s">
        <v>1945</v>
      </c>
      <c r="B173" s="7" t="s">
        <v>448</v>
      </c>
      <c r="C173" s="8" t="s">
        <v>31</v>
      </c>
      <c r="D173" s="7" t="s">
        <v>1946</v>
      </c>
      <c r="E173" s="7" t="s">
        <v>1947</v>
      </c>
      <c r="F173" s="7" t="s">
        <v>34</v>
      </c>
      <c r="G173" s="10" t="n">
        <v>2026</v>
      </c>
      <c r="H173" s="7" t="s">
        <v>1948</v>
      </c>
      <c r="I173" s="7" t="s">
        <v>1940</v>
      </c>
      <c r="J173" s="8" t="s">
        <v>1875</v>
      </c>
      <c r="K173" s="6" t="s">
        <v>22</v>
      </c>
      <c r="L173" s="7"/>
      <c r="M173" s="8" t="s">
        <v>1771</v>
      </c>
    </row>
    <row r="174" customFormat="false" ht="15" hidden="false" customHeight="false" outlineLevel="0" collapsed="false">
      <c r="A174" s="3" t="s">
        <v>1958</v>
      </c>
      <c r="B174" s="3" t="s">
        <v>1060</v>
      </c>
      <c r="C174" s="4" t="s">
        <v>31</v>
      </c>
      <c r="D174" s="3" t="s">
        <v>1959</v>
      </c>
      <c r="E174" s="3" t="s">
        <v>1960</v>
      </c>
      <c r="F174" s="3" t="s">
        <v>1072</v>
      </c>
      <c r="G174" s="5"/>
      <c r="H174" s="3" t="s">
        <v>1961</v>
      </c>
      <c r="I174" s="3" t="s">
        <v>1953</v>
      </c>
      <c r="J174" s="4" t="s">
        <v>1875</v>
      </c>
      <c r="K174" s="6" t="s">
        <v>22</v>
      </c>
      <c r="L174" s="3"/>
      <c r="M174" s="4" t="s">
        <v>1771</v>
      </c>
    </row>
    <row r="175" customFormat="false" ht="15" hidden="false" customHeight="false" outlineLevel="0" collapsed="false">
      <c r="A175" s="7" t="s">
        <v>1971</v>
      </c>
      <c r="B175" s="7" t="s">
        <v>620</v>
      </c>
      <c r="C175" s="8" t="s">
        <v>31</v>
      </c>
      <c r="D175" s="7" t="s">
        <v>1972</v>
      </c>
      <c r="E175" s="7" t="s">
        <v>1973</v>
      </c>
      <c r="F175" s="7" t="s">
        <v>692</v>
      </c>
      <c r="G175" s="10" t="n">
        <v>2026</v>
      </c>
      <c r="H175" s="7" t="s">
        <v>1974</v>
      </c>
      <c r="I175" s="7" t="s">
        <v>1966</v>
      </c>
      <c r="J175" s="8" t="s">
        <v>1875</v>
      </c>
      <c r="K175" s="6" t="s">
        <v>22</v>
      </c>
      <c r="L175" s="7"/>
      <c r="M175" s="8" t="s">
        <v>1771</v>
      </c>
    </row>
    <row r="176" customFormat="false" ht="15" hidden="false" customHeight="false" outlineLevel="0" collapsed="false">
      <c r="A176" s="3" t="s">
        <v>1984</v>
      </c>
      <c r="B176" s="3" t="s">
        <v>864</v>
      </c>
      <c r="C176" s="4" t="s">
        <v>31</v>
      </c>
      <c r="D176" s="3" t="s">
        <v>1985</v>
      </c>
      <c r="E176" s="3" t="s">
        <v>1986</v>
      </c>
      <c r="F176" s="3" t="s">
        <v>34</v>
      </c>
      <c r="G176" s="5"/>
      <c r="H176" s="3" t="s">
        <v>1987</v>
      </c>
      <c r="I176" s="3" t="s">
        <v>1979</v>
      </c>
      <c r="J176" s="4" t="s">
        <v>1875</v>
      </c>
      <c r="K176" s="6" t="s">
        <v>22</v>
      </c>
      <c r="L176" s="3"/>
      <c r="M176" s="4" t="s">
        <v>1771</v>
      </c>
    </row>
    <row r="177" customFormat="false" ht="15" hidden="false" customHeight="false" outlineLevel="0" collapsed="false">
      <c r="A177" s="7" t="s">
        <v>1997</v>
      </c>
      <c r="B177" s="7" t="s">
        <v>448</v>
      </c>
      <c r="C177" s="8" t="s">
        <v>31</v>
      </c>
      <c r="D177" s="7" t="s">
        <v>1998</v>
      </c>
      <c r="E177" s="7" t="s">
        <v>1999</v>
      </c>
      <c r="F177" s="7" t="s">
        <v>1680</v>
      </c>
      <c r="G177" s="9"/>
      <c r="H177" s="7" t="s">
        <v>2000</v>
      </c>
      <c r="I177" s="7" t="s">
        <v>1992</v>
      </c>
      <c r="J177" s="8" t="s">
        <v>1875</v>
      </c>
      <c r="K177" s="6" t="s">
        <v>22</v>
      </c>
      <c r="L177" s="7"/>
      <c r="M177" s="8" t="s">
        <v>1771</v>
      </c>
    </row>
    <row r="178" customFormat="false" ht="15" hidden="false" customHeight="false" outlineLevel="0" collapsed="false">
      <c r="A178" s="3" t="s">
        <v>2010</v>
      </c>
      <c r="B178" s="3" t="s">
        <v>448</v>
      </c>
      <c r="C178" s="4" t="s">
        <v>31</v>
      </c>
      <c r="D178" s="3" t="s">
        <v>2011</v>
      </c>
      <c r="E178" s="3" t="s">
        <v>2012</v>
      </c>
      <c r="F178" s="3" t="s">
        <v>34</v>
      </c>
      <c r="G178" s="11" t="n">
        <v>2026</v>
      </c>
      <c r="H178" s="3" t="s">
        <v>2013</v>
      </c>
      <c r="I178" s="3" t="s">
        <v>2005</v>
      </c>
      <c r="J178" s="4" t="s">
        <v>1875</v>
      </c>
      <c r="K178" s="6" t="s">
        <v>22</v>
      </c>
      <c r="L178" s="3"/>
      <c r="M178" s="4" t="s">
        <v>1771</v>
      </c>
    </row>
    <row r="179" customFormat="false" ht="15" hidden="false" customHeight="false" outlineLevel="0" collapsed="false">
      <c r="A179" s="7" t="s">
        <v>2023</v>
      </c>
      <c r="B179" s="7" t="s">
        <v>448</v>
      </c>
      <c r="C179" s="8" t="s">
        <v>31</v>
      </c>
      <c r="D179" s="7" t="s">
        <v>2024</v>
      </c>
      <c r="E179" s="7" t="s">
        <v>2025</v>
      </c>
      <c r="F179" s="7" t="s">
        <v>34</v>
      </c>
      <c r="G179" s="10" t="n">
        <v>2026</v>
      </c>
      <c r="H179" s="7" t="s">
        <v>2026</v>
      </c>
      <c r="I179" s="7" t="s">
        <v>2018</v>
      </c>
      <c r="J179" s="8" t="s">
        <v>1875</v>
      </c>
      <c r="K179" s="6" t="s">
        <v>22</v>
      </c>
      <c r="L179" s="7"/>
      <c r="M179" s="8" t="s">
        <v>1771</v>
      </c>
    </row>
    <row r="180" customFormat="false" ht="15" hidden="false" customHeight="false" outlineLevel="0" collapsed="false">
      <c r="A180" s="3" t="s">
        <v>2036</v>
      </c>
      <c r="B180" s="3" t="s">
        <v>695</v>
      </c>
      <c r="C180" s="4" t="s">
        <v>31</v>
      </c>
      <c r="D180" s="3" t="s">
        <v>2037</v>
      </c>
      <c r="E180" s="3" t="s">
        <v>2038</v>
      </c>
      <c r="F180" s="3" t="s">
        <v>1635</v>
      </c>
      <c r="G180" s="5"/>
      <c r="H180" s="3" t="s">
        <v>2039</v>
      </c>
      <c r="I180" s="3" t="s">
        <v>2031</v>
      </c>
      <c r="J180" s="4" t="s">
        <v>1875</v>
      </c>
      <c r="K180" s="6" t="s">
        <v>22</v>
      </c>
      <c r="L180" s="3" t="s">
        <v>34</v>
      </c>
      <c r="M180" s="4" t="s">
        <v>1771</v>
      </c>
    </row>
    <row r="181" customFormat="false" ht="15" hidden="false" customHeight="false" outlineLevel="0" collapsed="false">
      <c r="A181" s="7" t="s">
        <v>2049</v>
      </c>
      <c r="B181" s="7" t="s">
        <v>695</v>
      </c>
      <c r="C181" s="8" t="s">
        <v>31</v>
      </c>
      <c r="D181" s="7" t="s">
        <v>2050</v>
      </c>
      <c r="E181" s="7" t="s">
        <v>2051</v>
      </c>
      <c r="F181" s="7" t="s">
        <v>1635</v>
      </c>
      <c r="G181" s="10" t="n">
        <v>2026</v>
      </c>
      <c r="H181" s="7" t="s">
        <v>2052</v>
      </c>
      <c r="I181" s="7" t="s">
        <v>2044</v>
      </c>
      <c r="J181" s="8" t="s">
        <v>1875</v>
      </c>
      <c r="K181" s="6" t="s">
        <v>22</v>
      </c>
      <c r="L181" s="7"/>
      <c r="M181" s="8" t="s">
        <v>1771</v>
      </c>
    </row>
    <row r="182" customFormat="false" ht="15" hidden="false" customHeight="false" outlineLevel="0" collapsed="false">
      <c r="A182" s="3" t="s">
        <v>2062</v>
      </c>
      <c r="B182" s="3" t="s">
        <v>448</v>
      </c>
      <c r="C182" s="4" t="s">
        <v>31</v>
      </c>
      <c r="D182" s="3" t="s">
        <v>2063</v>
      </c>
      <c r="E182" s="3" t="s">
        <v>2064</v>
      </c>
      <c r="F182" s="3" t="s">
        <v>34</v>
      </c>
      <c r="G182" s="11" t="n">
        <v>2026</v>
      </c>
      <c r="H182" s="3" t="s">
        <v>2065</v>
      </c>
      <c r="I182" s="3" t="s">
        <v>2057</v>
      </c>
      <c r="J182" s="4" t="s">
        <v>1875</v>
      </c>
      <c r="K182" s="6" t="s">
        <v>22</v>
      </c>
      <c r="L182" s="3"/>
      <c r="M182" s="4" t="s">
        <v>1771</v>
      </c>
    </row>
    <row r="183" customFormat="false" ht="15" hidden="false" customHeight="false" outlineLevel="0" collapsed="false">
      <c r="A183" s="7" t="s">
        <v>2075</v>
      </c>
      <c r="B183" s="7" t="s">
        <v>448</v>
      </c>
      <c r="C183" s="8" t="s">
        <v>31</v>
      </c>
      <c r="D183" s="7" t="s">
        <v>2076</v>
      </c>
      <c r="E183" s="7" t="s">
        <v>2077</v>
      </c>
      <c r="F183" s="7" t="s">
        <v>34</v>
      </c>
      <c r="G183" s="10" t="n">
        <v>2026</v>
      </c>
      <c r="H183" s="7" t="s">
        <v>2078</v>
      </c>
      <c r="I183" s="7" t="s">
        <v>2070</v>
      </c>
      <c r="J183" s="8" t="s">
        <v>1875</v>
      </c>
      <c r="K183" s="6" t="s">
        <v>22</v>
      </c>
      <c r="L183" s="7"/>
      <c r="M183" s="8" t="s">
        <v>1771</v>
      </c>
    </row>
    <row r="184" customFormat="false" ht="15" hidden="false" customHeight="false" outlineLevel="0" collapsed="false">
      <c r="A184" s="3" t="s">
        <v>2088</v>
      </c>
      <c r="B184" s="3" t="s">
        <v>556</v>
      </c>
      <c r="C184" s="4" t="s">
        <v>31</v>
      </c>
      <c r="D184" s="3" t="s">
        <v>2089</v>
      </c>
      <c r="E184" s="3" t="s">
        <v>2090</v>
      </c>
      <c r="F184" s="3" t="s">
        <v>34</v>
      </c>
      <c r="G184" s="11" t="n">
        <v>2026</v>
      </c>
      <c r="H184" s="3" t="s">
        <v>2091</v>
      </c>
      <c r="I184" s="3" t="s">
        <v>2083</v>
      </c>
      <c r="J184" s="4" t="s">
        <v>1875</v>
      </c>
      <c r="K184" s="6" t="s">
        <v>22</v>
      </c>
      <c r="L184" s="3"/>
      <c r="M184" s="4" t="s">
        <v>1771</v>
      </c>
    </row>
    <row r="185" customFormat="false" ht="15" hidden="false" customHeight="false" outlineLevel="0" collapsed="false">
      <c r="A185" s="7" t="s">
        <v>2101</v>
      </c>
      <c r="B185" s="7" t="s">
        <v>448</v>
      </c>
      <c r="C185" s="8" t="s">
        <v>31</v>
      </c>
      <c r="D185" s="7" t="s">
        <v>2011</v>
      </c>
      <c r="E185" s="7" t="s">
        <v>2102</v>
      </c>
      <c r="F185" s="7" t="s">
        <v>34</v>
      </c>
      <c r="G185" s="10" t="n">
        <v>2026</v>
      </c>
      <c r="H185" s="7" t="s">
        <v>2103</v>
      </c>
      <c r="I185" s="7" t="s">
        <v>2096</v>
      </c>
      <c r="J185" s="8" t="s">
        <v>1875</v>
      </c>
      <c r="K185" s="6" t="s">
        <v>22</v>
      </c>
      <c r="L185" s="7"/>
      <c r="M185" s="8" t="s">
        <v>1771</v>
      </c>
    </row>
    <row r="186" customFormat="false" ht="15" hidden="false" customHeight="false" outlineLevel="0" collapsed="false">
      <c r="A186" s="3" t="s">
        <v>2113</v>
      </c>
      <c r="B186" s="3" t="s">
        <v>556</v>
      </c>
      <c r="C186" s="4" t="s">
        <v>31</v>
      </c>
      <c r="D186" s="3" t="s">
        <v>2114</v>
      </c>
      <c r="E186" s="3" t="s">
        <v>2115</v>
      </c>
      <c r="F186" s="3" t="s">
        <v>34</v>
      </c>
      <c r="G186" s="11" t="n">
        <v>2026</v>
      </c>
      <c r="H186" s="3" t="s">
        <v>2116</v>
      </c>
      <c r="I186" s="3" t="s">
        <v>2108</v>
      </c>
      <c r="J186" s="4" t="s">
        <v>1875</v>
      </c>
      <c r="K186" s="6" t="s">
        <v>22</v>
      </c>
      <c r="L186" s="3"/>
      <c r="M186" s="4" t="s">
        <v>1771</v>
      </c>
    </row>
    <row r="187" customFormat="false" ht="15" hidden="false" customHeight="false" outlineLevel="0" collapsed="false">
      <c r="A187" s="7" t="s">
        <v>2126</v>
      </c>
      <c r="B187" s="7" t="s">
        <v>620</v>
      </c>
      <c r="C187" s="8" t="s">
        <v>31</v>
      </c>
      <c r="D187" s="7" t="s">
        <v>2127</v>
      </c>
      <c r="E187" s="7" t="s">
        <v>2128</v>
      </c>
      <c r="F187" s="7" t="s">
        <v>692</v>
      </c>
      <c r="G187" s="10" t="n">
        <v>2026</v>
      </c>
      <c r="H187" s="7" t="s">
        <v>2129</v>
      </c>
      <c r="I187" s="7" t="s">
        <v>2121</v>
      </c>
      <c r="J187" s="8" t="s">
        <v>1875</v>
      </c>
      <c r="K187" s="6" t="s">
        <v>22</v>
      </c>
      <c r="L187" s="7"/>
      <c r="M187" s="8" t="s">
        <v>1771</v>
      </c>
    </row>
    <row r="188" customFormat="false" ht="15" hidden="false" customHeight="false" outlineLevel="0" collapsed="false">
      <c r="A188" s="3" t="s">
        <v>2139</v>
      </c>
      <c r="B188" s="3" t="s">
        <v>620</v>
      </c>
      <c r="C188" s="4" t="s">
        <v>31</v>
      </c>
      <c r="D188" s="3" t="s">
        <v>2140</v>
      </c>
      <c r="E188" s="3" t="s">
        <v>2141</v>
      </c>
      <c r="F188" s="3" t="s">
        <v>692</v>
      </c>
      <c r="G188" s="11" t="n">
        <v>2026</v>
      </c>
      <c r="H188" s="3" t="s">
        <v>2142</v>
      </c>
      <c r="I188" s="3" t="s">
        <v>2134</v>
      </c>
      <c r="J188" s="4" t="s">
        <v>1875</v>
      </c>
      <c r="K188" s="6" t="s">
        <v>22</v>
      </c>
      <c r="L188" s="3"/>
      <c r="M188" s="4" t="s">
        <v>1771</v>
      </c>
    </row>
    <row r="189" customFormat="false" ht="15" hidden="false" customHeight="false" outlineLevel="0" collapsed="false">
      <c r="A189" s="7" t="s">
        <v>2152</v>
      </c>
      <c r="B189" s="7" t="s">
        <v>91</v>
      </c>
      <c r="C189" s="8" t="s">
        <v>31</v>
      </c>
      <c r="D189" s="7" t="s">
        <v>2153</v>
      </c>
      <c r="E189" s="7" t="s">
        <v>2154</v>
      </c>
      <c r="F189" s="7" t="s">
        <v>34</v>
      </c>
      <c r="G189" s="9"/>
      <c r="H189" s="7" t="s">
        <v>2155</v>
      </c>
      <c r="I189" s="7" t="s">
        <v>2147</v>
      </c>
      <c r="J189" s="8" t="s">
        <v>1875</v>
      </c>
      <c r="K189" s="6" t="s">
        <v>22</v>
      </c>
      <c r="L189" s="7"/>
      <c r="M189" s="8" t="s">
        <v>1771</v>
      </c>
    </row>
    <row r="190" customFormat="false" ht="15" hidden="false" customHeight="false" outlineLevel="0" collapsed="false">
      <c r="A190" s="3" t="s">
        <v>2165</v>
      </c>
      <c r="B190" s="3" t="s">
        <v>14</v>
      </c>
      <c r="C190" s="4" t="s">
        <v>31</v>
      </c>
      <c r="D190" s="3" t="s">
        <v>2166</v>
      </c>
      <c r="E190" s="3" t="s">
        <v>2167</v>
      </c>
      <c r="F190" s="3" t="s">
        <v>34</v>
      </c>
      <c r="G190" s="5"/>
      <c r="H190" s="3" t="s">
        <v>2168</v>
      </c>
      <c r="I190" s="3" t="s">
        <v>2160</v>
      </c>
      <c r="J190" s="4" t="s">
        <v>1875</v>
      </c>
      <c r="K190" s="6" t="s">
        <v>22</v>
      </c>
      <c r="L190" s="3"/>
      <c r="M190" s="4" t="s">
        <v>1771</v>
      </c>
    </row>
    <row r="191" customFormat="false" ht="15" hidden="false" customHeight="false" outlineLevel="0" collapsed="false">
      <c r="A191" s="7" t="s">
        <v>2178</v>
      </c>
      <c r="B191" s="7" t="s">
        <v>864</v>
      </c>
      <c r="C191" s="8" t="s">
        <v>31</v>
      </c>
      <c r="D191" s="7" t="s">
        <v>2179</v>
      </c>
      <c r="E191" s="7" t="s">
        <v>2180</v>
      </c>
      <c r="F191" s="7" t="s">
        <v>34</v>
      </c>
      <c r="G191" s="9"/>
      <c r="H191" s="7" t="s">
        <v>2181</v>
      </c>
      <c r="I191" s="7" t="s">
        <v>2173</v>
      </c>
      <c r="J191" s="8" t="s">
        <v>1875</v>
      </c>
      <c r="K191" s="6" t="s">
        <v>22</v>
      </c>
      <c r="L191" s="7"/>
      <c r="M191" s="8" t="s">
        <v>1771</v>
      </c>
    </row>
    <row r="192" customFormat="false" ht="15" hidden="false" customHeight="false" outlineLevel="0" collapsed="false">
      <c r="A192" s="3" t="s">
        <v>2191</v>
      </c>
      <c r="B192" s="3" t="s">
        <v>556</v>
      </c>
      <c r="C192" s="4" t="s">
        <v>31</v>
      </c>
      <c r="D192" s="3" t="s">
        <v>2192</v>
      </c>
      <c r="E192" s="3" t="s">
        <v>2193</v>
      </c>
      <c r="F192" s="3" t="s">
        <v>34</v>
      </c>
      <c r="G192" s="11" t="n">
        <v>2026</v>
      </c>
      <c r="H192" s="3" t="s">
        <v>2194</v>
      </c>
      <c r="I192" s="3" t="s">
        <v>2186</v>
      </c>
      <c r="J192" s="4" t="s">
        <v>1875</v>
      </c>
      <c r="K192" s="6" t="s">
        <v>22</v>
      </c>
      <c r="L192" s="3"/>
      <c r="M192" s="4" t="s">
        <v>1771</v>
      </c>
    </row>
    <row r="193" customFormat="false" ht="15" hidden="false" customHeight="false" outlineLevel="0" collapsed="false">
      <c r="A193" s="7" t="s">
        <v>2204</v>
      </c>
      <c r="B193" s="7" t="s">
        <v>91</v>
      </c>
      <c r="C193" s="8" t="s">
        <v>31</v>
      </c>
      <c r="D193" s="7" t="s">
        <v>2205</v>
      </c>
      <c r="E193" s="7" t="s">
        <v>2206</v>
      </c>
      <c r="F193" s="7" t="s">
        <v>34</v>
      </c>
      <c r="G193" s="9"/>
      <c r="H193" s="7" t="s">
        <v>2207</v>
      </c>
      <c r="I193" s="7" t="s">
        <v>2199</v>
      </c>
      <c r="J193" s="8" t="s">
        <v>1875</v>
      </c>
      <c r="K193" s="6" t="s">
        <v>22</v>
      </c>
      <c r="L193" s="7"/>
      <c r="M193" s="8" t="s">
        <v>1771</v>
      </c>
    </row>
    <row r="194" customFormat="false" ht="15" hidden="false" customHeight="false" outlineLevel="0" collapsed="false">
      <c r="A194" s="3" t="s">
        <v>2217</v>
      </c>
      <c r="B194" s="3" t="s">
        <v>14</v>
      </c>
      <c r="C194" s="4" t="s">
        <v>31</v>
      </c>
      <c r="D194" s="3" t="s">
        <v>2218</v>
      </c>
      <c r="E194" s="3" t="s">
        <v>2219</v>
      </c>
      <c r="F194" s="3" t="s">
        <v>34</v>
      </c>
      <c r="G194" s="5"/>
      <c r="H194" s="3" t="s">
        <v>2220</v>
      </c>
      <c r="I194" s="3" t="s">
        <v>2212</v>
      </c>
      <c r="J194" s="4" t="s">
        <v>1875</v>
      </c>
      <c r="K194" s="6" t="s">
        <v>22</v>
      </c>
      <c r="L194" s="3"/>
      <c r="M194" s="4" t="s">
        <v>1771</v>
      </c>
    </row>
    <row r="195" customFormat="false" ht="15" hidden="false" customHeight="false" outlineLevel="0" collapsed="false">
      <c r="A195" s="7" t="s">
        <v>2230</v>
      </c>
      <c r="B195" s="7" t="s">
        <v>448</v>
      </c>
      <c r="C195" s="8" t="s">
        <v>31</v>
      </c>
      <c r="D195" s="7" t="s">
        <v>2231</v>
      </c>
      <c r="E195" s="7" t="s">
        <v>2232</v>
      </c>
      <c r="F195" s="7" t="s">
        <v>1696</v>
      </c>
      <c r="G195" s="10" t="n">
        <v>2026</v>
      </c>
      <c r="H195" s="7" t="s">
        <v>2233</v>
      </c>
      <c r="I195" s="7" t="s">
        <v>2225</v>
      </c>
      <c r="J195" s="8" t="s">
        <v>1875</v>
      </c>
      <c r="K195" s="6" t="s">
        <v>22</v>
      </c>
      <c r="L195" s="7"/>
      <c r="M195" s="8" t="s">
        <v>1771</v>
      </c>
    </row>
    <row r="196" customFormat="false" ht="15" hidden="false" customHeight="false" outlineLevel="0" collapsed="false">
      <c r="A196" s="3" t="s">
        <v>2243</v>
      </c>
      <c r="B196" s="3" t="s">
        <v>823</v>
      </c>
      <c r="C196" s="4" t="s">
        <v>31</v>
      </c>
      <c r="D196" s="3" t="s">
        <v>2244</v>
      </c>
      <c r="E196" s="3" t="s">
        <v>2245</v>
      </c>
      <c r="F196" s="3" t="s">
        <v>1712</v>
      </c>
      <c r="G196" s="5"/>
      <c r="H196" s="3" t="s">
        <v>2246</v>
      </c>
      <c r="I196" s="3" t="s">
        <v>2238</v>
      </c>
      <c r="J196" s="4" t="s">
        <v>1875</v>
      </c>
      <c r="K196" s="6" t="s">
        <v>22</v>
      </c>
      <c r="L196" s="3"/>
      <c r="M196" s="4" t="s">
        <v>1771</v>
      </c>
    </row>
    <row r="197" customFormat="false" ht="15" hidden="false" customHeight="false" outlineLevel="0" collapsed="false">
      <c r="A197" s="7" t="s">
        <v>2256</v>
      </c>
      <c r="B197" s="7" t="s">
        <v>823</v>
      </c>
      <c r="C197" s="8" t="s">
        <v>31</v>
      </c>
      <c r="D197" s="7" t="s">
        <v>2257</v>
      </c>
      <c r="E197" s="7" t="s">
        <v>2258</v>
      </c>
      <c r="F197" s="7" t="s">
        <v>1712</v>
      </c>
      <c r="G197" s="9"/>
      <c r="H197" s="7" t="s">
        <v>2259</v>
      </c>
      <c r="I197" s="7" t="s">
        <v>2251</v>
      </c>
      <c r="J197" s="8" t="s">
        <v>1875</v>
      </c>
      <c r="K197" s="6" t="s">
        <v>22</v>
      </c>
      <c r="L197" s="7" t="s">
        <v>34</v>
      </c>
      <c r="M197" s="8" t="s">
        <v>1771</v>
      </c>
    </row>
    <row r="198" customFormat="false" ht="15" hidden="false" customHeight="false" outlineLevel="0" collapsed="false">
      <c r="A198" s="3" t="s">
        <v>2269</v>
      </c>
      <c r="B198" s="3" t="s">
        <v>448</v>
      </c>
      <c r="C198" s="4" t="s">
        <v>31</v>
      </c>
      <c r="D198" s="3" t="s">
        <v>2270</v>
      </c>
      <c r="E198" s="3" t="s">
        <v>2271</v>
      </c>
      <c r="F198" s="3" t="s">
        <v>1696</v>
      </c>
      <c r="G198" s="11" t="n">
        <v>2026</v>
      </c>
      <c r="H198" s="3" t="s">
        <v>2272</v>
      </c>
      <c r="I198" s="3" t="s">
        <v>2264</v>
      </c>
      <c r="J198" s="4" t="s">
        <v>1875</v>
      </c>
      <c r="K198" s="6" t="s">
        <v>22</v>
      </c>
      <c r="L198" s="3"/>
      <c r="M198" s="4" t="s">
        <v>1771</v>
      </c>
    </row>
    <row r="199" customFormat="false" ht="15" hidden="false" customHeight="false" outlineLevel="0" collapsed="false">
      <c r="A199" s="7" t="s">
        <v>2282</v>
      </c>
      <c r="B199" s="7" t="s">
        <v>14</v>
      </c>
      <c r="C199" s="8" t="s">
        <v>31</v>
      </c>
      <c r="D199" s="7" t="s">
        <v>2283</v>
      </c>
      <c r="E199" s="7" t="s">
        <v>2284</v>
      </c>
      <c r="F199" s="7" t="s">
        <v>34</v>
      </c>
      <c r="G199" s="9"/>
      <c r="H199" s="7" t="s">
        <v>2285</v>
      </c>
      <c r="I199" s="7" t="s">
        <v>2277</v>
      </c>
      <c r="J199" s="8" t="s">
        <v>1875</v>
      </c>
      <c r="K199" s="6" t="s">
        <v>22</v>
      </c>
      <c r="L199" s="7"/>
      <c r="M199" s="8" t="s">
        <v>1771</v>
      </c>
    </row>
    <row r="200" customFormat="false" ht="15" hidden="false" customHeight="false" outlineLevel="0" collapsed="false">
      <c r="A200" s="3" t="s">
        <v>2295</v>
      </c>
      <c r="B200" s="3" t="s">
        <v>91</v>
      </c>
      <c r="C200" s="4" t="s">
        <v>31</v>
      </c>
      <c r="D200" s="3" t="s">
        <v>2296</v>
      </c>
      <c r="E200" s="3" t="s">
        <v>2297</v>
      </c>
      <c r="F200" s="3" t="s">
        <v>34</v>
      </c>
      <c r="G200" s="5"/>
      <c r="H200" s="3" t="s">
        <v>2298</v>
      </c>
      <c r="I200" s="3" t="s">
        <v>2290</v>
      </c>
      <c r="J200" s="4" t="s">
        <v>1875</v>
      </c>
      <c r="K200" s="6" t="s">
        <v>22</v>
      </c>
      <c r="L200" s="3"/>
      <c r="M200" s="4" t="s">
        <v>1771</v>
      </c>
    </row>
    <row r="201" customFormat="false" ht="15" hidden="false" customHeight="false" outlineLevel="0" collapsed="false">
      <c r="A201" s="7" t="s">
        <v>2308</v>
      </c>
      <c r="B201" s="7" t="s">
        <v>91</v>
      </c>
      <c r="C201" s="8" t="s">
        <v>31</v>
      </c>
      <c r="D201" s="7" t="s">
        <v>2309</v>
      </c>
      <c r="E201" s="7" t="s">
        <v>2310</v>
      </c>
      <c r="F201" s="7" t="s">
        <v>34</v>
      </c>
      <c r="G201" s="10" t="n">
        <v>2026</v>
      </c>
      <c r="H201" s="7" t="s">
        <v>2311</v>
      </c>
      <c r="I201" s="7" t="s">
        <v>2303</v>
      </c>
      <c r="J201" s="8" t="s">
        <v>1875</v>
      </c>
      <c r="K201" s="6" t="s">
        <v>22</v>
      </c>
      <c r="L201" s="7"/>
      <c r="M201" s="8" t="s">
        <v>1771</v>
      </c>
    </row>
    <row r="202" customFormat="false" ht="15" hidden="false" customHeight="false" outlineLevel="0" collapsed="false">
      <c r="A202" s="3" t="s">
        <v>2321</v>
      </c>
      <c r="B202" s="3" t="s">
        <v>620</v>
      </c>
      <c r="C202" s="4" t="s">
        <v>31</v>
      </c>
      <c r="D202" s="3" t="s">
        <v>2322</v>
      </c>
      <c r="E202" s="3" t="s">
        <v>2323</v>
      </c>
      <c r="F202" s="3" t="s">
        <v>34</v>
      </c>
      <c r="G202" s="11" t="n">
        <v>2026</v>
      </c>
      <c r="H202" s="3" t="s">
        <v>2324</v>
      </c>
      <c r="I202" s="3" t="s">
        <v>2316</v>
      </c>
      <c r="J202" s="4" t="s">
        <v>1875</v>
      </c>
      <c r="K202" s="6" t="s">
        <v>22</v>
      </c>
      <c r="L202" s="3" t="s">
        <v>692</v>
      </c>
      <c r="M202" s="4" t="s">
        <v>1771</v>
      </c>
    </row>
    <row r="203" customFormat="false" ht="15" hidden="false" customHeight="false" outlineLevel="0" collapsed="false">
      <c r="A203" s="7" t="s">
        <v>2334</v>
      </c>
      <c r="B203" s="7" t="s">
        <v>758</v>
      </c>
      <c r="C203" s="8" t="s">
        <v>31</v>
      </c>
      <c r="D203" s="7" t="s">
        <v>2335</v>
      </c>
      <c r="E203" s="7" t="s">
        <v>2336</v>
      </c>
      <c r="F203" s="7" t="s">
        <v>34</v>
      </c>
      <c r="G203" s="9"/>
      <c r="H203" s="7" t="s">
        <v>2337</v>
      </c>
      <c r="I203" s="7" t="s">
        <v>2329</v>
      </c>
      <c r="J203" s="8" t="s">
        <v>1875</v>
      </c>
      <c r="K203" s="6" t="s">
        <v>22</v>
      </c>
      <c r="L203" s="7" t="s">
        <v>1635</v>
      </c>
      <c r="M203" s="8" t="s">
        <v>1771</v>
      </c>
    </row>
    <row r="204" customFormat="false" ht="15" hidden="false" customHeight="false" outlineLevel="0" collapsed="false">
      <c r="A204" s="3" t="s">
        <v>2347</v>
      </c>
      <c r="B204" s="3" t="s">
        <v>1060</v>
      </c>
      <c r="C204" s="4" t="s">
        <v>31</v>
      </c>
      <c r="D204" s="3" t="s">
        <v>2348</v>
      </c>
      <c r="E204" s="3" t="s">
        <v>2349</v>
      </c>
      <c r="F204" s="3" t="s">
        <v>34</v>
      </c>
      <c r="G204" s="5"/>
      <c r="H204" s="3" t="s">
        <v>2350</v>
      </c>
      <c r="I204" s="3" t="s">
        <v>2342</v>
      </c>
      <c r="J204" s="4" t="s">
        <v>1875</v>
      </c>
      <c r="K204" s="6" t="s">
        <v>22</v>
      </c>
      <c r="L204" s="3" t="s">
        <v>1072</v>
      </c>
      <c r="M204" s="4" t="s">
        <v>1771</v>
      </c>
    </row>
    <row r="205" customFormat="false" ht="15" hidden="false" customHeight="false" outlineLevel="0" collapsed="false">
      <c r="A205" s="7" t="s">
        <v>2360</v>
      </c>
      <c r="B205" s="7" t="s">
        <v>620</v>
      </c>
      <c r="C205" s="8" t="s">
        <v>31</v>
      </c>
      <c r="D205" s="7" t="s">
        <v>2361</v>
      </c>
      <c r="E205" s="7" t="s">
        <v>2362</v>
      </c>
      <c r="F205" s="7" t="s">
        <v>34</v>
      </c>
      <c r="G205" s="10" t="n">
        <v>2026</v>
      </c>
      <c r="H205" s="7" t="s">
        <v>2363</v>
      </c>
      <c r="I205" s="7" t="s">
        <v>2355</v>
      </c>
      <c r="J205" s="8" t="s">
        <v>1875</v>
      </c>
      <c r="K205" s="6" t="s">
        <v>22</v>
      </c>
      <c r="L205" s="7" t="s">
        <v>692</v>
      </c>
      <c r="M205" s="8" t="s">
        <v>1771</v>
      </c>
    </row>
    <row r="206" customFormat="false" ht="15" hidden="false" customHeight="false" outlineLevel="0" collapsed="false">
      <c r="A206" s="3" t="s">
        <v>2373</v>
      </c>
      <c r="B206" s="3" t="s">
        <v>448</v>
      </c>
      <c r="C206" s="4" t="s">
        <v>31</v>
      </c>
      <c r="D206" s="3" t="s">
        <v>2374</v>
      </c>
      <c r="E206" s="3" t="s">
        <v>2375</v>
      </c>
      <c r="F206" s="3" t="s">
        <v>34</v>
      </c>
      <c r="G206" s="11" t="n">
        <v>2026</v>
      </c>
      <c r="H206" s="3" t="s">
        <v>2376</v>
      </c>
      <c r="I206" s="3" t="s">
        <v>2368</v>
      </c>
      <c r="J206" s="4" t="s">
        <v>1875</v>
      </c>
      <c r="K206" s="6" t="s">
        <v>22</v>
      </c>
      <c r="L206" s="3"/>
      <c r="M206" s="4" t="s">
        <v>1771</v>
      </c>
    </row>
    <row r="207" customFormat="false" ht="15" hidden="false" customHeight="false" outlineLevel="0" collapsed="false">
      <c r="A207" s="7" t="s">
        <v>2386</v>
      </c>
      <c r="B207" s="7" t="s">
        <v>448</v>
      </c>
      <c r="C207" s="8" t="s">
        <v>31</v>
      </c>
      <c r="D207" s="7" t="s">
        <v>2387</v>
      </c>
      <c r="E207" s="7" t="s">
        <v>2388</v>
      </c>
      <c r="F207" s="7" t="s">
        <v>1696</v>
      </c>
      <c r="G207" s="10" t="n">
        <v>2026</v>
      </c>
      <c r="H207" s="7" t="s">
        <v>2389</v>
      </c>
      <c r="I207" s="7" t="s">
        <v>2381</v>
      </c>
      <c r="J207" s="8" t="s">
        <v>1875</v>
      </c>
      <c r="K207" s="6" t="s">
        <v>22</v>
      </c>
      <c r="L207" s="7" t="s">
        <v>1680</v>
      </c>
      <c r="M207" s="8" t="s">
        <v>1771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12"/>
    <col collapsed="false" customWidth="true" hidden="false" outlineLevel="0" max="4" min="4" style="0" width="44"/>
    <col collapsed="false" customWidth="true" hidden="false" outlineLevel="0" max="5" min="5" style="0" width="45"/>
    <col collapsed="false" customWidth="true" hidden="false" outlineLevel="0" max="6" min="6" style="0" width="44"/>
    <col collapsed="false" customWidth="true" hidden="false" outlineLevel="0" max="7" min="7" style="0" width="12"/>
    <col collapsed="false" customWidth="true" hidden="false" outlineLevel="0" max="8" min="8" style="0" width="44"/>
    <col collapsed="false" customWidth="true" hidden="false" outlineLevel="0" max="9" min="9" style="0" width="28"/>
    <col collapsed="false" customWidth="true" hidden="false" outlineLevel="0" max="10" min="10" style="0" width="18"/>
    <col collapsed="false" customWidth="true" hidden="false" outlineLevel="0" max="11" min="11" style="0" width="20"/>
    <col collapsed="false" customWidth="true" hidden="false" outlineLevel="0" max="12" min="12" style="0" width="38"/>
    <col collapsed="false" customWidth="true" hidden="false" outlineLevel="0" max="13" min="13" style="0" width="16"/>
  </cols>
  <sheetData>
    <row r="1" customFormat="false" ht="24" hidden="false" customHeight="true" outlineLevel="0" collapsed="false">
      <c r="A1" s="1" t="s">
        <v>0</v>
      </c>
      <c r="B1" s="1" t="s">
        <v>1</v>
      </c>
      <c r="C1" s="2" t="s">
        <v>2</v>
      </c>
      <c r="D1" s="1" t="s">
        <v>3</v>
      </c>
      <c r="E1" s="1" t="s">
        <v>4</v>
      </c>
      <c r="F1" s="1" t="s">
        <v>5</v>
      </c>
      <c r="G1" s="2" t="s">
        <v>6</v>
      </c>
      <c r="H1" s="1" t="s">
        <v>7</v>
      </c>
      <c r="I1" s="1" t="s">
        <v>8</v>
      </c>
      <c r="J1" s="2" t="s">
        <v>9</v>
      </c>
      <c r="K1" s="2" t="s">
        <v>10</v>
      </c>
      <c r="L1" s="1" t="s">
        <v>11</v>
      </c>
      <c r="M1" s="2" t="s">
        <v>12</v>
      </c>
    </row>
    <row r="2" customFormat="false" ht="15" hidden="false" customHeight="false" outlineLevel="0" collapsed="false">
      <c r="A2" s="3" t="s">
        <v>1538</v>
      </c>
      <c r="B2" s="3" t="s">
        <v>91</v>
      </c>
      <c r="C2" s="4" t="s">
        <v>15</v>
      </c>
      <c r="D2" s="3" t="s">
        <v>1539</v>
      </c>
      <c r="E2" s="14" t="s">
        <v>1540</v>
      </c>
      <c r="F2" s="3" t="s">
        <v>18</v>
      </c>
      <c r="G2" s="11" t="n">
        <v>2026</v>
      </c>
      <c r="H2" s="3" t="s">
        <v>1541</v>
      </c>
      <c r="I2" s="3" t="s">
        <v>1542</v>
      </c>
      <c r="J2" s="4" t="s">
        <v>1543</v>
      </c>
      <c r="K2" s="6" t="s">
        <v>22</v>
      </c>
      <c r="L2" s="3"/>
      <c r="M2" s="4" t="s">
        <v>1544</v>
      </c>
    </row>
    <row r="3" customFormat="false" ht="15" hidden="false" customHeight="false" outlineLevel="0" collapsed="false">
      <c r="A3" s="7" t="s">
        <v>1545</v>
      </c>
      <c r="B3" s="7" t="s">
        <v>91</v>
      </c>
      <c r="C3" s="8" t="s">
        <v>25</v>
      </c>
      <c r="D3" s="7" t="s">
        <v>1546</v>
      </c>
      <c r="E3" s="15" t="s">
        <v>1547</v>
      </c>
      <c r="F3" s="7" t="s">
        <v>28</v>
      </c>
      <c r="G3" s="10" t="n">
        <v>2026</v>
      </c>
      <c r="H3" s="7" t="s">
        <v>1548</v>
      </c>
      <c r="I3" s="7" t="s">
        <v>1542</v>
      </c>
      <c r="J3" s="8" t="s">
        <v>1543</v>
      </c>
      <c r="K3" s="6" t="s">
        <v>22</v>
      </c>
      <c r="L3" s="7"/>
      <c r="M3" s="8" t="s">
        <v>1544</v>
      </c>
    </row>
    <row r="4" customFormat="false" ht="15" hidden="false" customHeight="false" outlineLevel="0" collapsed="false">
      <c r="A4" s="3" t="s">
        <v>1549</v>
      </c>
      <c r="B4" s="3" t="s">
        <v>91</v>
      </c>
      <c r="C4" s="4" t="s">
        <v>31</v>
      </c>
      <c r="D4" s="3" t="s">
        <v>1550</v>
      </c>
      <c r="E4" s="14" t="s">
        <v>1551</v>
      </c>
      <c r="F4" s="3" t="s">
        <v>34</v>
      </c>
      <c r="G4" s="11" t="n">
        <v>2026</v>
      </c>
      <c r="H4" s="3" t="s">
        <v>1552</v>
      </c>
      <c r="I4" s="3" t="s">
        <v>1542</v>
      </c>
      <c r="J4" s="4" t="s">
        <v>1543</v>
      </c>
      <c r="K4" s="6" t="s">
        <v>22</v>
      </c>
      <c r="L4" s="3"/>
      <c r="M4" s="4" t="s">
        <v>1544</v>
      </c>
    </row>
    <row r="5" customFormat="false" ht="15" hidden="false" customHeight="false" outlineLevel="0" collapsed="false">
      <c r="A5" s="7" t="s">
        <v>1553</v>
      </c>
      <c r="B5" s="7" t="s">
        <v>448</v>
      </c>
      <c r="C5" s="8" t="s">
        <v>15</v>
      </c>
      <c r="D5" s="7" t="s">
        <v>1554</v>
      </c>
      <c r="E5" s="15" t="s">
        <v>1555</v>
      </c>
      <c r="F5" s="7" t="s">
        <v>18</v>
      </c>
      <c r="G5" s="10" t="n">
        <v>2026</v>
      </c>
      <c r="H5" s="7" t="s">
        <v>1556</v>
      </c>
      <c r="I5" s="7" t="s">
        <v>1557</v>
      </c>
      <c r="J5" s="8" t="s">
        <v>1543</v>
      </c>
      <c r="K5" s="6" t="s">
        <v>22</v>
      </c>
      <c r="L5" s="7"/>
      <c r="M5" s="8" t="s">
        <v>1544</v>
      </c>
    </row>
    <row r="6" customFormat="false" ht="15" hidden="false" customHeight="false" outlineLevel="0" collapsed="false">
      <c r="A6" s="3" t="s">
        <v>1558</v>
      </c>
      <c r="B6" s="3" t="s">
        <v>448</v>
      </c>
      <c r="C6" s="4" t="s">
        <v>25</v>
      </c>
      <c r="D6" s="3" t="s">
        <v>1559</v>
      </c>
      <c r="E6" s="14" t="s">
        <v>1560</v>
      </c>
      <c r="F6" s="3" t="s">
        <v>28</v>
      </c>
      <c r="G6" s="11" t="n">
        <v>2026</v>
      </c>
      <c r="H6" s="3" t="s">
        <v>1561</v>
      </c>
      <c r="I6" s="3" t="s">
        <v>1557</v>
      </c>
      <c r="J6" s="4" t="s">
        <v>1543</v>
      </c>
      <c r="K6" s="6" t="s">
        <v>22</v>
      </c>
      <c r="L6" s="3"/>
      <c r="M6" s="4" t="s">
        <v>1544</v>
      </c>
    </row>
    <row r="7" customFormat="false" ht="15" hidden="false" customHeight="false" outlineLevel="0" collapsed="false">
      <c r="A7" s="7" t="s">
        <v>1562</v>
      </c>
      <c r="B7" s="7" t="s">
        <v>448</v>
      </c>
      <c r="C7" s="8" t="s">
        <v>31</v>
      </c>
      <c r="D7" s="7" t="s">
        <v>1563</v>
      </c>
      <c r="E7" s="15" t="s">
        <v>1564</v>
      </c>
      <c r="F7" s="7" t="s">
        <v>34</v>
      </c>
      <c r="G7" s="10" t="n">
        <v>2026</v>
      </c>
      <c r="H7" s="7" t="s">
        <v>1565</v>
      </c>
      <c r="I7" s="7" t="s">
        <v>1557</v>
      </c>
      <c r="J7" s="8" t="s">
        <v>1543</v>
      </c>
      <c r="K7" s="6" t="s">
        <v>22</v>
      </c>
      <c r="L7" s="7"/>
      <c r="M7" s="8" t="s">
        <v>1544</v>
      </c>
    </row>
    <row r="8" customFormat="false" ht="15" hidden="false" customHeight="false" outlineLevel="0" collapsed="false">
      <c r="A8" s="3" t="s">
        <v>1566</v>
      </c>
      <c r="B8" s="3" t="s">
        <v>864</v>
      </c>
      <c r="C8" s="4" t="s">
        <v>15</v>
      </c>
      <c r="D8" s="3" t="s">
        <v>1567</v>
      </c>
      <c r="E8" s="14" t="s">
        <v>1568</v>
      </c>
      <c r="F8" s="3" t="s">
        <v>18</v>
      </c>
      <c r="G8" s="5"/>
      <c r="H8" s="3" t="s">
        <v>1569</v>
      </c>
      <c r="I8" s="3" t="s">
        <v>1570</v>
      </c>
      <c r="J8" s="4" t="s">
        <v>1543</v>
      </c>
      <c r="K8" s="6" t="s">
        <v>22</v>
      </c>
      <c r="L8" s="3"/>
      <c r="M8" s="4" t="s">
        <v>1544</v>
      </c>
    </row>
    <row r="9" customFormat="false" ht="15" hidden="false" customHeight="false" outlineLevel="0" collapsed="false">
      <c r="A9" s="7" t="s">
        <v>1571</v>
      </c>
      <c r="B9" s="7" t="s">
        <v>864</v>
      </c>
      <c r="C9" s="8" t="s">
        <v>25</v>
      </c>
      <c r="D9" s="7" t="s">
        <v>1572</v>
      </c>
      <c r="E9" s="15" t="s">
        <v>1573</v>
      </c>
      <c r="F9" s="7" t="s">
        <v>28</v>
      </c>
      <c r="G9" s="9"/>
      <c r="H9" s="7" t="s">
        <v>1574</v>
      </c>
      <c r="I9" s="7" t="s">
        <v>1570</v>
      </c>
      <c r="J9" s="8" t="s">
        <v>1543</v>
      </c>
      <c r="K9" s="6" t="s">
        <v>22</v>
      </c>
      <c r="L9" s="7"/>
      <c r="M9" s="8" t="s">
        <v>1544</v>
      </c>
    </row>
    <row r="10" customFormat="false" ht="15" hidden="false" customHeight="false" outlineLevel="0" collapsed="false">
      <c r="A10" s="3" t="s">
        <v>1575</v>
      </c>
      <c r="B10" s="3" t="s">
        <v>864</v>
      </c>
      <c r="C10" s="4" t="s">
        <v>31</v>
      </c>
      <c r="D10" s="3" t="s">
        <v>1576</v>
      </c>
      <c r="E10" s="14" t="s">
        <v>1577</v>
      </c>
      <c r="F10" s="3" t="s">
        <v>34</v>
      </c>
      <c r="G10" s="5"/>
      <c r="H10" s="3" t="s">
        <v>1578</v>
      </c>
      <c r="I10" s="3" t="s">
        <v>1570</v>
      </c>
      <c r="J10" s="4" t="s">
        <v>1543</v>
      </c>
      <c r="K10" s="6" t="s">
        <v>22</v>
      </c>
      <c r="L10" s="3"/>
      <c r="M10" s="4" t="s">
        <v>1544</v>
      </c>
    </row>
    <row r="11" customFormat="false" ht="15" hidden="false" customHeight="false" outlineLevel="0" collapsed="false">
      <c r="A11" s="7" t="s">
        <v>1579</v>
      </c>
      <c r="B11" s="7" t="s">
        <v>14</v>
      </c>
      <c r="C11" s="8" t="s">
        <v>15</v>
      </c>
      <c r="D11" s="7" t="s">
        <v>1580</v>
      </c>
      <c r="E11" s="15" t="s">
        <v>1581</v>
      </c>
      <c r="F11" s="7" t="s">
        <v>18</v>
      </c>
      <c r="G11" s="9"/>
      <c r="H11" s="7" t="s">
        <v>1582</v>
      </c>
      <c r="I11" s="7" t="s">
        <v>1583</v>
      </c>
      <c r="J11" s="8" t="s">
        <v>1543</v>
      </c>
      <c r="K11" s="6" t="s">
        <v>22</v>
      </c>
      <c r="L11" s="7"/>
      <c r="M11" s="8" t="s">
        <v>1544</v>
      </c>
    </row>
    <row r="12" customFormat="false" ht="15" hidden="false" customHeight="false" outlineLevel="0" collapsed="false">
      <c r="A12" s="3" t="s">
        <v>1584</v>
      </c>
      <c r="B12" s="3" t="s">
        <v>14</v>
      </c>
      <c r="C12" s="4" t="s">
        <v>25</v>
      </c>
      <c r="D12" s="3" t="s">
        <v>1585</v>
      </c>
      <c r="E12" s="14" t="s">
        <v>1586</v>
      </c>
      <c r="F12" s="3" t="s">
        <v>28</v>
      </c>
      <c r="G12" s="5"/>
      <c r="H12" s="3" t="s">
        <v>1587</v>
      </c>
      <c r="I12" s="3" t="s">
        <v>1583</v>
      </c>
      <c r="J12" s="4" t="s">
        <v>1543</v>
      </c>
      <c r="K12" s="6" t="s">
        <v>22</v>
      </c>
      <c r="L12" s="3"/>
      <c r="M12" s="4" t="s">
        <v>1544</v>
      </c>
    </row>
    <row r="13" customFormat="false" ht="15" hidden="false" customHeight="false" outlineLevel="0" collapsed="false">
      <c r="A13" s="7" t="s">
        <v>1588</v>
      </c>
      <c r="B13" s="7" t="s">
        <v>14</v>
      </c>
      <c r="C13" s="8" t="s">
        <v>31</v>
      </c>
      <c r="D13" s="7" t="s">
        <v>1589</v>
      </c>
      <c r="E13" s="15" t="s">
        <v>1590</v>
      </c>
      <c r="F13" s="7" t="s">
        <v>34</v>
      </c>
      <c r="G13" s="9"/>
      <c r="H13" s="7" t="s">
        <v>1591</v>
      </c>
      <c r="I13" s="7" t="s">
        <v>1583</v>
      </c>
      <c r="J13" s="8" t="s">
        <v>1543</v>
      </c>
      <c r="K13" s="6" t="s">
        <v>22</v>
      </c>
      <c r="L13" s="7"/>
      <c r="M13" s="8" t="s">
        <v>1544</v>
      </c>
    </row>
    <row r="14" customFormat="false" ht="15" hidden="false" customHeight="false" outlineLevel="0" collapsed="false">
      <c r="A14" s="3" t="s">
        <v>1592</v>
      </c>
      <c r="B14" s="3" t="s">
        <v>620</v>
      </c>
      <c r="C14" s="4" t="s">
        <v>15</v>
      </c>
      <c r="D14" s="3" t="s">
        <v>1593</v>
      </c>
      <c r="E14" s="14" t="s">
        <v>1594</v>
      </c>
      <c r="F14" s="3" t="s">
        <v>681</v>
      </c>
      <c r="G14" s="11" t="n">
        <v>2026</v>
      </c>
      <c r="H14" s="3" t="s">
        <v>1595</v>
      </c>
      <c r="I14" s="3" t="s">
        <v>1596</v>
      </c>
      <c r="J14" s="4" t="s">
        <v>1543</v>
      </c>
      <c r="K14" s="6" t="s">
        <v>22</v>
      </c>
      <c r="L14" s="3"/>
      <c r="M14" s="4" t="s">
        <v>1544</v>
      </c>
    </row>
    <row r="15" customFormat="false" ht="15" hidden="false" customHeight="false" outlineLevel="0" collapsed="false">
      <c r="A15" s="7" t="s">
        <v>1597</v>
      </c>
      <c r="B15" s="7" t="s">
        <v>620</v>
      </c>
      <c r="C15" s="8" t="s">
        <v>25</v>
      </c>
      <c r="D15" s="7" t="s">
        <v>1598</v>
      </c>
      <c r="E15" s="15" t="s">
        <v>1599</v>
      </c>
      <c r="F15" s="7" t="s">
        <v>687</v>
      </c>
      <c r="G15" s="10" t="n">
        <v>2026</v>
      </c>
      <c r="H15" s="7" t="s">
        <v>1600</v>
      </c>
      <c r="I15" s="7" t="s">
        <v>1596</v>
      </c>
      <c r="J15" s="8" t="s">
        <v>1543</v>
      </c>
      <c r="K15" s="6" t="s">
        <v>22</v>
      </c>
      <c r="L15" s="7"/>
      <c r="M15" s="8" t="s">
        <v>1544</v>
      </c>
    </row>
    <row r="16" customFormat="false" ht="15" hidden="false" customHeight="false" outlineLevel="0" collapsed="false">
      <c r="A16" s="3" t="s">
        <v>1601</v>
      </c>
      <c r="B16" s="3" t="s">
        <v>620</v>
      </c>
      <c r="C16" s="4" t="s">
        <v>31</v>
      </c>
      <c r="D16" s="3" t="s">
        <v>1602</v>
      </c>
      <c r="E16" s="14" t="s">
        <v>1603</v>
      </c>
      <c r="F16" s="3" t="s">
        <v>692</v>
      </c>
      <c r="G16" s="11" t="n">
        <v>2026</v>
      </c>
      <c r="H16" s="3" t="s">
        <v>1604</v>
      </c>
      <c r="I16" s="3" t="s">
        <v>1596</v>
      </c>
      <c r="J16" s="4" t="s">
        <v>1543</v>
      </c>
      <c r="K16" s="6" t="s">
        <v>22</v>
      </c>
      <c r="L16" s="3"/>
      <c r="M16" s="4" t="s">
        <v>1544</v>
      </c>
    </row>
    <row r="17" customFormat="false" ht="15" hidden="false" customHeight="false" outlineLevel="0" collapsed="false">
      <c r="A17" s="7" t="s">
        <v>1605</v>
      </c>
      <c r="B17" s="7" t="s">
        <v>448</v>
      </c>
      <c r="C17" s="8" t="s">
        <v>15</v>
      </c>
      <c r="D17" s="7" t="s">
        <v>1606</v>
      </c>
      <c r="E17" s="15" t="s">
        <v>1607</v>
      </c>
      <c r="F17" s="7" t="s">
        <v>1608</v>
      </c>
      <c r="G17" s="10" t="n">
        <v>2026</v>
      </c>
      <c r="H17" s="7" t="s">
        <v>1609</v>
      </c>
      <c r="I17" s="7" t="s">
        <v>1610</v>
      </c>
      <c r="J17" s="8" t="s">
        <v>1543</v>
      </c>
      <c r="K17" s="6" t="s">
        <v>22</v>
      </c>
      <c r="L17" s="7"/>
      <c r="M17" s="8" t="s">
        <v>1544</v>
      </c>
    </row>
    <row r="18" customFormat="false" ht="15" hidden="false" customHeight="false" outlineLevel="0" collapsed="false">
      <c r="A18" s="3" t="s">
        <v>1611</v>
      </c>
      <c r="B18" s="3" t="s">
        <v>448</v>
      </c>
      <c r="C18" s="4" t="s">
        <v>25</v>
      </c>
      <c r="D18" s="3" t="s">
        <v>1612</v>
      </c>
      <c r="E18" s="14" t="s">
        <v>1613</v>
      </c>
      <c r="F18" s="3" t="s">
        <v>1614</v>
      </c>
      <c r="G18" s="11" t="n">
        <v>2026</v>
      </c>
      <c r="H18" s="3" t="s">
        <v>1615</v>
      </c>
      <c r="I18" s="3" t="s">
        <v>1610</v>
      </c>
      <c r="J18" s="4" t="s">
        <v>1543</v>
      </c>
      <c r="K18" s="6" t="s">
        <v>22</v>
      </c>
      <c r="L18" s="3"/>
      <c r="M18" s="4" t="s">
        <v>1544</v>
      </c>
    </row>
    <row r="19" customFormat="false" ht="15" hidden="false" customHeight="false" outlineLevel="0" collapsed="false">
      <c r="A19" s="7" t="s">
        <v>1616</v>
      </c>
      <c r="B19" s="7" t="s">
        <v>448</v>
      </c>
      <c r="C19" s="8" t="s">
        <v>31</v>
      </c>
      <c r="D19" s="7" t="s">
        <v>1617</v>
      </c>
      <c r="E19" s="15" t="s">
        <v>1618</v>
      </c>
      <c r="F19" s="7" t="s">
        <v>1619</v>
      </c>
      <c r="G19" s="10" t="n">
        <v>2026</v>
      </c>
      <c r="H19" s="7" t="s">
        <v>1620</v>
      </c>
      <c r="I19" s="7" t="s">
        <v>1610</v>
      </c>
      <c r="J19" s="8" t="s">
        <v>1543</v>
      </c>
      <c r="K19" s="6" t="s">
        <v>22</v>
      </c>
      <c r="L19" s="7"/>
      <c r="M19" s="8" t="s">
        <v>1544</v>
      </c>
    </row>
    <row r="20" customFormat="false" ht="15" hidden="false" customHeight="false" outlineLevel="0" collapsed="false">
      <c r="A20" s="3" t="s">
        <v>1621</v>
      </c>
      <c r="B20" s="3" t="s">
        <v>695</v>
      </c>
      <c r="C20" s="4" t="s">
        <v>15</v>
      </c>
      <c r="D20" s="3" t="s">
        <v>1622</v>
      </c>
      <c r="E20" s="14" t="s">
        <v>1623</v>
      </c>
      <c r="F20" s="3" t="s">
        <v>1624</v>
      </c>
      <c r="G20" s="11" t="n">
        <v>2026</v>
      </c>
      <c r="H20" s="3" t="s">
        <v>1625</v>
      </c>
      <c r="I20" s="3" t="s">
        <v>1626</v>
      </c>
      <c r="J20" s="4" t="s">
        <v>1543</v>
      </c>
      <c r="K20" s="6" t="s">
        <v>22</v>
      </c>
      <c r="L20" s="3"/>
      <c r="M20" s="4" t="s">
        <v>1544</v>
      </c>
    </row>
    <row r="21" customFormat="false" ht="15" hidden="false" customHeight="false" outlineLevel="0" collapsed="false">
      <c r="A21" s="7" t="s">
        <v>1627</v>
      </c>
      <c r="B21" s="7" t="s">
        <v>695</v>
      </c>
      <c r="C21" s="8" t="s">
        <v>25</v>
      </c>
      <c r="D21" s="7" t="s">
        <v>1628</v>
      </c>
      <c r="E21" s="15" t="s">
        <v>1629</v>
      </c>
      <c r="F21" s="7" t="s">
        <v>1630</v>
      </c>
      <c r="G21" s="10" t="n">
        <v>2026</v>
      </c>
      <c r="H21" s="7" t="s">
        <v>1631</v>
      </c>
      <c r="I21" s="7" t="s">
        <v>1626</v>
      </c>
      <c r="J21" s="8" t="s">
        <v>1543</v>
      </c>
      <c r="K21" s="6" t="s">
        <v>22</v>
      </c>
      <c r="L21" s="7"/>
      <c r="M21" s="8" t="s">
        <v>1544</v>
      </c>
    </row>
    <row r="22" customFormat="false" ht="15" hidden="false" customHeight="false" outlineLevel="0" collapsed="false">
      <c r="A22" s="3" t="s">
        <v>1632</v>
      </c>
      <c r="B22" s="3" t="s">
        <v>695</v>
      </c>
      <c r="C22" s="4" t="s">
        <v>31</v>
      </c>
      <c r="D22" s="3" t="s">
        <v>1633</v>
      </c>
      <c r="E22" s="14" t="s">
        <v>1634</v>
      </c>
      <c r="F22" s="3" t="s">
        <v>1635</v>
      </c>
      <c r="G22" s="11" t="n">
        <v>2026</v>
      </c>
      <c r="H22" s="3" t="s">
        <v>1636</v>
      </c>
      <c r="I22" s="3" t="s">
        <v>1626</v>
      </c>
      <c r="J22" s="4" t="s">
        <v>1543</v>
      </c>
      <c r="K22" s="6" t="s">
        <v>22</v>
      </c>
      <c r="L22" s="3"/>
      <c r="M22" s="4" t="s">
        <v>1544</v>
      </c>
    </row>
    <row r="23" customFormat="false" ht="15" hidden="false" customHeight="false" outlineLevel="0" collapsed="false">
      <c r="A23" s="7" t="s">
        <v>1637</v>
      </c>
      <c r="B23" s="7" t="s">
        <v>91</v>
      </c>
      <c r="C23" s="8" t="s">
        <v>15</v>
      </c>
      <c r="D23" s="7" t="s">
        <v>1638</v>
      </c>
      <c r="E23" s="15" t="s">
        <v>1639</v>
      </c>
      <c r="F23" s="7" t="s">
        <v>1640</v>
      </c>
      <c r="G23" s="9"/>
      <c r="H23" s="7" t="s">
        <v>1641</v>
      </c>
      <c r="I23" s="7" t="s">
        <v>1642</v>
      </c>
      <c r="J23" s="8" t="s">
        <v>1543</v>
      </c>
      <c r="K23" s="6" t="s">
        <v>22</v>
      </c>
      <c r="L23" s="7"/>
      <c r="M23" s="8" t="s">
        <v>1544</v>
      </c>
    </row>
    <row r="24" customFormat="false" ht="15" hidden="false" customHeight="false" outlineLevel="0" collapsed="false">
      <c r="A24" s="3" t="s">
        <v>1643</v>
      </c>
      <c r="B24" s="3" t="s">
        <v>91</v>
      </c>
      <c r="C24" s="4" t="s">
        <v>25</v>
      </c>
      <c r="D24" s="3" t="s">
        <v>1644</v>
      </c>
      <c r="E24" s="14" t="s">
        <v>1645</v>
      </c>
      <c r="F24" s="3" t="s">
        <v>1646</v>
      </c>
      <c r="G24" s="5"/>
      <c r="H24" s="3" t="s">
        <v>1647</v>
      </c>
      <c r="I24" s="3" t="s">
        <v>1642</v>
      </c>
      <c r="J24" s="4" t="s">
        <v>1543</v>
      </c>
      <c r="K24" s="6" t="s">
        <v>22</v>
      </c>
      <c r="L24" s="3"/>
      <c r="M24" s="4" t="s">
        <v>1544</v>
      </c>
    </row>
    <row r="25" customFormat="false" ht="15" hidden="false" customHeight="false" outlineLevel="0" collapsed="false">
      <c r="A25" s="7" t="s">
        <v>1648</v>
      </c>
      <c r="B25" s="7" t="s">
        <v>91</v>
      </c>
      <c r="C25" s="8" t="s">
        <v>31</v>
      </c>
      <c r="D25" s="7" t="s">
        <v>1649</v>
      </c>
      <c r="E25" s="15" t="s">
        <v>1650</v>
      </c>
      <c r="F25" s="7" t="s">
        <v>1651</v>
      </c>
      <c r="G25" s="9"/>
      <c r="H25" s="7" t="s">
        <v>1652</v>
      </c>
      <c r="I25" s="7" t="s">
        <v>1642</v>
      </c>
      <c r="J25" s="8" t="s">
        <v>1543</v>
      </c>
      <c r="K25" s="6" t="s">
        <v>22</v>
      </c>
      <c r="L25" s="7"/>
      <c r="M25" s="8" t="s">
        <v>1544</v>
      </c>
    </row>
    <row r="26" customFormat="false" ht="15" hidden="false" customHeight="false" outlineLevel="0" collapsed="false">
      <c r="A26" s="3" t="s">
        <v>1653</v>
      </c>
      <c r="B26" s="3" t="s">
        <v>1060</v>
      </c>
      <c r="C26" s="4" t="s">
        <v>15</v>
      </c>
      <c r="D26" s="3" t="s">
        <v>1654</v>
      </c>
      <c r="E26" s="14" t="s">
        <v>1655</v>
      </c>
      <c r="F26" s="3" t="s">
        <v>1063</v>
      </c>
      <c r="G26" s="5"/>
      <c r="H26" s="3" t="s">
        <v>1656</v>
      </c>
      <c r="I26" s="3" t="s">
        <v>1657</v>
      </c>
      <c r="J26" s="4" t="s">
        <v>1543</v>
      </c>
      <c r="K26" s="6" t="s">
        <v>22</v>
      </c>
      <c r="L26" s="3"/>
      <c r="M26" s="4" t="s">
        <v>1544</v>
      </c>
    </row>
    <row r="27" customFormat="false" ht="15" hidden="false" customHeight="false" outlineLevel="0" collapsed="false">
      <c r="A27" s="7" t="s">
        <v>1658</v>
      </c>
      <c r="B27" s="7" t="s">
        <v>1060</v>
      </c>
      <c r="C27" s="8" t="s">
        <v>25</v>
      </c>
      <c r="D27" s="7" t="s">
        <v>1659</v>
      </c>
      <c r="E27" s="15" t="s">
        <v>1660</v>
      </c>
      <c r="F27" s="7" t="s">
        <v>1068</v>
      </c>
      <c r="G27" s="9"/>
      <c r="H27" s="7" t="s">
        <v>1661</v>
      </c>
      <c r="I27" s="7" t="s">
        <v>1657</v>
      </c>
      <c r="J27" s="8" t="s">
        <v>1543</v>
      </c>
      <c r="K27" s="6" t="s">
        <v>22</v>
      </c>
      <c r="L27" s="7"/>
      <c r="M27" s="8" t="s">
        <v>1544</v>
      </c>
    </row>
    <row r="28" customFormat="false" ht="15" hidden="false" customHeight="false" outlineLevel="0" collapsed="false">
      <c r="A28" s="3" t="s">
        <v>1662</v>
      </c>
      <c r="B28" s="3" t="s">
        <v>1060</v>
      </c>
      <c r="C28" s="4" t="s">
        <v>31</v>
      </c>
      <c r="D28" s="3" t="s">
        <v>1663</v>
      </c>
      <c r="E28" s="14" t="s">
        <v>1664</v>
      </c>
      <c r="F28" s="3" t="s">
        <v>1072</v>
      </c>
      <c r="G28" s="5"/>
      <c r="H28" s="3" t="s">
        <v>1665</v>
      </c>
      <c r="I28" s="3" t="s">
        <v>1657</v>
      </c>
      <c r="J28" s="4" t="s">
        <v>1543</v>
      </c>
      <c r="K28" s="6" t="s">
        <v>22</v>
      </c>
      <c r="L28" s="3"/>
      <c r="M28" s="4" t="s">
        <v>1544</v>
      </c>
    </row>
    <row r="29" customFormat="false" ht="15" hidden="false" customHeight="false" outlineLevel="0" collapsed="false">
      <c r="A29" s="7" t="s">
        <v>1666</v>
      </c>
      <c r="B29" s="7" t="s">
        <v>448</v>
      </c>
      <c r="C29" s="8" t="s">
        <v>15</v>
      </c>
      <c r="D29" s="7" t="s">
        <v>1667</v>
      </c>
      <c r="E29" s="15" t="s">
        <v>1668</v>
      </c>
      <c r="F29" s="7" t="s">
        <v>1669</v>
      </c>
      <c r="G29" s="9"/>
      <c r="H29" s="7" t="s">
        <v>1670</v>
      </c>
      <c r="I29" s="7" t="s">
        <v>1671</v>
      </c>
      <c r="J29" s="8" t="s">
        <v>1543</v>
      </c>
      <c r="K29" s="6" t="s">
        <v>22</v>
      </c>
      <c r="L29" s="7"/>
      <c r="M29" s="8" t="s">
        <v>1544</v>
      </c>
    </row>
    <row r="30" customFormat="false" ht="15" hidden="false" customHeight="false" outlineLevel="0" collapsed="false">
      <c r="A30" s="3" t="s">
        <v>1672</v>
      </c>
      <c r="B30" s="3" t="s">
        <v>448</v>
      </c>
      <c r="C30" s="4" t="s">
        <v>25</v>
      </c>
      <c r="D30" s="3" t="s">
        <v>1673</v>
      </c>
      <c r="E30" s="14" t="s">
        <v>1674</v>
      </c>
      <c r="F30" s="3" t="s">
        <v>1675</v>
      </c>
      <c r="G30" s="5"/>
      <c r="H30" s="3" t="s">
        <v>1676</v>
      </c>
      <c r="I30" s="3" t="s">
        <v>1671</v>
      </c>
      <c r="J30" s="4" t="s">
        <v>1543</v>
      </c>
      <c r="K30" s="6" t="s">
        <v>22</v>
      </c>
      <c r="L30" s="3"/>
      <c r="M30" s="4" t="s">
        <v>1544</v>
      </c>
    </row>
    <row r="31" customFormat="false" ht="15" hidden="false" customHeight="false" outlineLevel="0" collapsed="false">
      <c r="A31" s="7" t="s">
        <v>1677</v>
      </c>
      <c r="B31" s="7" t="s">
        <v>448</v>
      </c>
      <c r="C31" s="8" t="s">
        <v>31</v>
      </c>
      <c r="D31" s="7" t="s">
        <v>1678</v>
      </c>
      <c r="E31" s="15" t="s">
        <v>1679</v>
      </c>
      <c r="F31" s="7" t="s">
        <v>1680</v>
      </c>
      <c r="G31" s="9"/>
      <c r="H31" s="7" t="s">
        <v>1681</v>
      </c>
      <c r="I31" s="7" t="s">
        <v>1671</v>
      </c>
      <c r="J31" s="8" t="s">
        <v>1543</v>
      </c>
      <c r="K31" s="6" t="s">
        <v>22</v>
      </c>
      <c r="L31" s="7"/>
      <c r="M31" s="8" t="s">
        <v>1544</v>
      </c>
    </row>
    <row r="32" customFormat="false" ht="15" hidden="false" customHeight="false" outlineLevel="0" collapsed="false">
      <c r="A32" s="3" t="s">
        <v>1682</v>
      </c>
      <c r="B32" s="3" t="s">
        <v>448</v>
      </c>
      <c r="C32" s="4" t="s">
        <v>15</v>
      </c>
      <c r="D32" s="3" t="s">
        <v>1683</v>
      </c>
      <c r="E32" s="14" t="s">
        <v>1684</v>
      </c>
      <c r="F32" s="3" t="s">
        <v>1685</v>
      </c>
      <c r="G32" s="11" t="n">
        <v>2026</v>
      </c>
      <c r="H32" s="3" t="s">
        <v>1686</v>
      </c>
      <c r="I32" s="3" t="s">
        <v>1687</v>
      </c>
      <c r="J32" s="4" t="s">
        <v>1543</v>
      </c>
      <c r="K32" s="6" t="s">
        <v>22</v>
      </c>
      <c r="L32" s="3"/>
      <c r="M32" s="4" t="s">
        <v>1544</v>
      </c>
    </row>
    <row r="33" customFormat="false" ht="15" hidden="false" customHeight="false" outlineLevel="0" collapsed="false">
      <c r="A33" s="7" t="s">
        <v>1688</v>
      </c>
      <c r="B33" s="7" t="s">
        <v>448</v>
      </c>
      <c r="C33" s="8" t="s">
        <v>25</v>
      </c>
      <c r="D33" s="7" t="s">
        <v>1689</v>
      </c>
      <c r="E33" s="15" t="s">
        <v>1690</v>
      </c>
      <c r="F33" s="7" t="s">
        <v>1691</v>
      </c>
      <c r="G33" s="10" t="n">
        <v>2026</v>
      </c>
      <c r="H33" s="7" t="s">
        <v>1692</v>
      </c>
      <c r="I33" s="7" t="s">
        <v>1687</v>
      </c>
      <c r="J33" s="8" t="s">
        <v>1543</v>
      </c>
      <c r="K33" s="6" t="s">
        <v>22</v>
      </c>
      <c r="L33" s="7"/>
      <c r="M33" s="8" t="s">
        <v>1544</v>
      </c>
    </row>
    <row r="34" customFormat="false" ht="15" hidden="false" customHeight="false" outlineLevel="0" collapsed="false">
      <c r="A34" s="3" t="s">
        <v>1693</v>
      </c>
      <c r="B34" s="3" t="s">
        <v>448</v>
      </c>
      <c r="C34" s="4" t="s">
        <v>31</v>
      </c>
      <c r="D34" s="3" t="s">
        <v>1694</v>
      </c>
      <c r="E34" s="14" t="s">
        <v>1695</v>
      </c>
      <c r="F34" s="3" t="s">
        <v>1696</v>
      </c>
      <c r="G34" s="11" t="n">
        <v>2026</v>
      </c>
      <c r="H34" s="3" t="s">
        <v>1697</v>
      </c>
      <c r="I34" s="3" t="s">
        <v>1687</v>
      </c>
      <c r="J34" s="4" t="s">
        <v>1543</v>
      </c>
      <c r="K34" s="6" t="s">
        <v>22</v>
      </c>
      <c r="L34" s="3"/>
      <c r="M34" s="4" t="s">
        <v>1544</v>
      </c>
    </row>
    <row r="35" customFormat="false" ht="15" hidden="false" customHeight="false" outlineLevel="0" collapsed="false">
      <c r="A35" s="7" t="s">
        <v>1698</v>
      </c>
      <c r="B35" s="7" t="s">
        <v>823</v>
      </c>
      <c r="C35" s="8" t="s">
        <v>15</v>
      </c>
      <c r="D35" s="7" t="s">
        <v>1699</v>
      </c>
      <c r="E35" s="15" t="s">
        <v>1700</v>
      </c>
      <c r="F35" s="7" t="s">
        <v>1701</v>
      </c>
      <c r="G35" s="9"/>
      <c r="H35" s="7" t="s">
        <v>1702</v>
      </c>
      <c r="I35" s="7" t="s">
        <v>1703</v>
      </c>
      <c r="J35" s="8" t="s">
        <v>1543</v>
      </c>
      <c r="K35" s="6" t="s">
        <v>22</v>
      </c>
      <c r="L35" s="7"/>
      <c r="M35" s="8" t="s">
        <v>1544</v>
      </c>
    </row>
    <row r="36" customFormat="false" ht="15" hidden="false" customHeight="false" outlineLevel="0" collapsed="false">
      <c r="A36" s="3" t="s">
        <v>1704</v>
      </c>
      <c r="B36" s="3" t="s">
        <v>823</v>
      </c>
      <c r="C36" s="4" t="s">
        <v>25</v>
      </c>
      <c r="D36" s="3" t="s">
        <v>1705</v>
      </c>
      <c r="E36" s="14" t="s">
        <v>1706</v>
      </c>
      <c r="F36" s="3" t="s">
        <v>1707</v>
      </c>
      <c r="G36" s="5"/>
      <c r="H36" s="3" t="s">
        <v>1708</v>
      </c>
      <c r="I36" s="3" t="s">
        <v>1703</v>
      </c>
      <c r="J36" s="4" t="s">
        <v>1543</v>
      </c>
      <c r="K36" s="6" t="s">
        <v>22</v>
      </c>
      <c r="L36" s="3"/>
      <c r="M36" s="4" t="s">
        <v>1544</v>
      </c>
    </row>
    <row r="37" customFormat="false" ht="15" hidden="false" customHeight="false" outlineLevel="0" collapsed="false">
      <c r="A37" s="7" t="s">
        <v>1709</v>
      </c>
      <c r="B37" s="7" t="s">
        <v>823</v>
      </c>
      <c r="C37" s="8" t="s">
        <v>31</v>
      </c>
      <c r="D37" s="7" t="s">
        <v>1710</v>
      </c>
      <c r="E37" s="15" t="s">
        <v>1711</v>
      </c>
      <c r="F37" s="7" t="s">
        <v>1712</v>
      </c>
      <c r="G37" s="9"/>
      <c r="H37" s="7" t="s">
        <v>1713</v>
      </c>
      <c r="I37" s="7" t="s">
        <v>1703</v>
      </c>
      <c r="J37" s="8" t="s">
        <v>1543</v>
      </c>
      <c r="K37" s="6" t="s">
        <v>22</v>
      </c>
      <c r="L37" s="7"/>
      <c r="M37" s="8" t="s">
        <v>1544</v>
      </c>
    </row>
    <row r="38" customFormat="false" ht="15" hidden="false" customHeight="false" outlineLevel="0" collapsed="false">
      <c r="A38" s="3" t="s">
        <v>1714</v>
      </c>
      <c r="B38" s="3" t="s">
        <v>14</v>
      </c>
      <c r="C38" s="4" t="s">
        <v>15</v>
      </c>
      <c r="D38" s="3" t="s">
        <v>1715</v>
      </c>
      <c r="E38" s="14" t="s">
        <v>1716</v>
      </c>
      <c r="F38" s="3" t="s">
        <v>1717</v>
      </c>
      <c r="G38" s="5"/>
      <c r="H38" s="3" t="s">
        <v>1718</v>
      </c>
      <c r="I38" s="3" t="s">
        <v>1719</v>
      </c>
      <c r="J38" s="4" t="s">
        <v>1543</v>
      </c>
      <c r="K38" s="6" t="s">
        <v>22</v>
      </c>
      <c r="L38" s="3"/>
      <c r="M38" s="4" t="s">
        <v>1544</v>
      </c>
    </row>
    <row r="39" customFormat="false" ht="15" hidden="false" customHeight="false" outlineLevel="0" collapsed="false">
      <c r="A39" s="7" t="s">
        <v>1720</v>
      </c>
      <c r="B39" s="7" t="s">
        <v>14</v>
      </c>
      <c r="C39" s="8" t="s">
        <v>25</v>
      </c>
      <c r="D39" s="7" t="s">
        <v>1721</v>
      </c>
      <c r="E39" s="15" t="s">
        <v>1722</v>
      </c>
      <c r="F39" s="7" t="s">
        <v>1723</v>
      </c>
      <c r="G39" s="9"/>
      <c r="H39" s="7" t="s">
        <v>1724</v>
      </c>
      <c r="I39" s="7" t="s">
        <v>1719</v>
      </c>
      <c r="J39" s="8" t="s">
        <v>1543</v>
      </c>
      <c r="K39" s="6" t="s">
        <v>22</v>
      </c>
      <c r="L39" s="7"/>
      <c r="M39" s="8" t="s">
        <v>1544</v>
      </c>
    </row>
    <row r="40" customFormat="false" ht="15" hidden="false" customHeight="false" outlineLevel="0" collapsed="false">
      <c r="A40" s="3" t="s">
        <v>1725</v>
      </c>
      <c r="B40" s="3" t="s">
        <v>14</v>
      </c>
      <c r="C40" s="4" t="s">
        <v>31</v>
      </c>
      <c r="D40" s="3" t="s">
        <v>1726</v>
      </c>
      <c r="E40" s="14" t="s">
        <v>1727</v>
      </c>
      <c r="F40" s="3" t="s">
        <v>1728</v>
      </c>
      <c r="G40" s="5"/>
      <c r="H40" s="3" t="s">
        <v>1729</v>
      </c>
      <c r="I40" s="3" t="s">
        <v>1719</v>
      </c>
      <c r="J40" s="4" t="s">
        <v>1543</v>
      </c>
      <c r="K40" s="6" t="s">
        <v>22</v>
      </c>
      <c r="L40" s="3"/>
      <c r="M40" s="4" t="s">
        <v>1544</v>
      </c>
    </row>
    <row r="41" customFormat="false" ht="15" hidden="false" customHeight="false" outlineLevel="0" collapsed="false">
      <c r="A41" s="7" t="s">
        <v>1730</v>
      </c>
      <c r="B41" s="7" t="s">
        <v>91</v>
      </c>
      <c r="C41" s="8" t="s">
        <v>15</v>
      </c>
      <c r="D41" s="7" t="s">
        <v>1731</v>
      </c>
      <c r="E41" s="7" t="s">
        <v>1732</v>
      </c>
      <c r="F41" s="7" t="s">
        <v>1717</v>
      </c>
      <c r="G41" s="9"/>
      <c r="H41" s="7" t="s">
        <v>1733</v>
      </c>
      <c r="I41" s="7" t="s">
        <v>1734</v>
      </c>
      <c r="J41" s="8" t="s">
        <v>21</v>
      </c>
      <c r="K41" s="6" t="s">
        <v>22</v>
      </c>
      <c r="L41" s="7"/>
      <c r="M41" s="8" t="s">
        <v>1544</v>
      </c>
    </row>
    <row r="42" customFormat="false" ht="15" hidden="false" customHeight="false" outlineLevel="0" collapsed="false">
      <c r="A42" s="3" t="s">
        <v>1735</v>
      </c>
      <c r="B42" s="3" t="s">
        <v>91</v>
      </c>
      <c r="C42" s="4" t="s">
        <v>25</v>
      </c>
      <c r="D42" s="3" t="s">
        <v>1736</v>
      </c>
      <c r="E42" s="3" t="s">
        <v>1737</v>
      </c>
      <c r="F42" s="3" t="s">
        <v>1723</v>
      </c>
      <c r="G42" s="5"/>
      <c r="H42" s="3" t="s">
        <v>1738</v>
      </c>
      <c r="I42" s="3" t="s">
        <v>1734</v>
      </c>
      <c r="J42" s="4" t="s">
        <v>21</v>
      </c>
      <c r="K42" s="6" t="s">
        <v>22</v>
      </c>
      <c r="L42" s="3"/>
      <c r="M42" s="4" t="s">
        <v>1544</v>
      </c>
    </row>
    <row r="43" customFormat="false" ht="15" hidden="false" customHeight="false" outlineLevel="0" collapsed="false">
      <c r="A43" s="7" t="s">
        <v>1739</v>
      </c>
      <c r="B43" s="7" t="s">
        <v>91</v>
      </c>
      <c r="C43" s="8" t="s">
        <v>31</v>
      </c>
      <c r="D43" s="7" t="s">
        <v>1740</v>
      </c>
      <c r="E43" s="7" t="s">
        <v>1741</v>
      </c>
      <c r="F43" s="7" t="s">
        <v>1728</v>
      </c>
      <c r="G43" s="9"/>
      <c r="H43" s="7" t="s">
        <v>1742</v>
      </c>
      <c r="I43" s="7" t="s">
        <v>1734</v>
      </c>
      <c r="J43" s="8" t="s">
        <v>21</v>
      </c>
      <c r="K43" s="6" t="s">
        <v>22</v>
      </c>
      <c r="L43" s="7"/>
      <c r="M43" s="8" t="s">
        <v>1544</v>
      </c>
    </row>
    <row r="44" customFormat="false" ht="15" hidden="false" customHeight="false" outlineLevel="0" collapsed="false">
      <c r="A44" s="3" t="s">
        <v>1743</v>
      </c>
      <c r="B44" s="3" t="s">
        <v>823</v>
      </c>
      <c r="C44" s="4" t="s">
        <v>15</v>
      </c>
      <c r="D44" s="3" t="s">
        <v>1744</v>
      </c>
      <c r="E44" s="3" t="s">
        <v>1745</v>
      </c>
      <c r="F44" s="3" t="s">
        <v>1717</v>
      </c>
      <c r="G44" s="5"/>
      <c r="H44" s="3" t="s">
        <v>1733</v>
      </c>
      <c r="I44" s="3" t="s">
        <v>1746</v>
      </c>
      <c r="J44" s="4" t="s">
        <v>21</v>
      </c>
      <c r="K44" s="6" t="s">
        <v>22</v>
      </c>
      <c r="L44" s="3"/>
      <c r="M44" s="4" t="s">
        <v>1544</v>
      </c>
    </row>
    <row r="45" customFormat="false" ht="15" hidden="false" customHeight="false" outlineLevel="0" collapsed="false">
      <c r="A45" s="7" t="s">
        <v>1747</v>
      </c>
      <c r="B45" s="7" t="s">
        <v>823</v>
      </c>
      <c r="C45" s="8" t="s">
        <v>25</v>
      </c>
      <c r="D45" s="7" t="s">
        <v>1748</v>
      </c>
      <c r="E45" s="7" t="s">
        <v>1749</v>
      </c>
      <c r="F45" s="7" t="s">
        <v>1723</v>
      </c>
      <c r="G45" s="9"/>
      <c r="H45" s="7" t="s">
        <v>1738</v>
      </c>
      <c r="I45" s="7" t="s">
        <v>1746</v>
      </c>
      <c r="J45" s="8" t="s">
        <v>21</v>
      </c>
      <c r="K45" s="6" t="s">
        <v>22</v>
      </c>
      <c r="L45" s="7"/>
      <c r="M45" s="8" t="s">
        <v>1544</v>
      </c>
    </row>
    <row r="46" customFormat="false" ht="15" hidden="false" customHeight="false" outlineLevel="0" collapsed="false">
      <c r="A46" s="3" t="s">
        <v>1750</v>
      </c>
      <c r="B46" s="3" t="s">
        <v>823</v>
      </c>
      <c r="C46" s="4" t="s">
        <v>31</v>
      </c>
      <c r="D46" s="3" t="s">
        <v>1751</v>
      </c>
      <c r="E46" s="3" t="s">
        <v>1752</v>
      </c>
      <c r="F46" s="3" t="s">
        <v>1728</v>
      </c>
      <c r="G46" s="5"/>
      <c r="H46" s="3" t="s">
        <v>1742</v>
      </c>
      <c r="I46" s="3" t="s">
        <v>1746</v>
      </c>
      <c r="J46" s="4" t="s">
        <v>21</v>
      </c>
      <c r="K46" s="6" t="s">
        <v>22</v>
      </c>
      <c r="L46" s="3"/>
      <c r="M46" s="4" t="s">
        <v>1544</v>
      </c>
    </row>
    <row r="47" customFormat="false" ht="15" hidden="false" customHeight="false" outlineLevel="0" collapsed="false">
      <c r="A47" s="7" t="s">
        <v>1753</v>
      </c>
      <c r="B47" s="7" t="s">
        <v>758</v>
      </c>
      <c r="C47" s="8" t="s">
        <v>15</v>
      </c>
      <c r="D47" s="7" t="s">
        <v>1754</v>
      </c>
      <c r="E47" s="7" t="s">
        <v>1755</v>
      </c>
      <c r="F47" s="7" t="s">
        <v>1717</v>
      </c>
      <c r="G47" s="9"/>
      <c r="H47" s="7" t="s">
        <v>1733</v>
      </c>
      <c r="I47" s="7" t="s">
        <v>1756</v>
      </c>
      <c r="J47" s="8" t="s">
        <v>21</v>
      </c>
      <c r="K47" s="6" t="s">
        <v>22</v>
      </c>
      <c r="L47" s="7"/>
      <c r="M47" s="8" t="s">
        <v>1544</v>
      </c>
    </row>
    <row r="48" customFormat="false" ht="15" hidden="false" customHeight="false" outlineLevel="0" collapsed="false">
      <c r="A48" s="3" t="s">
        <v>1757</v>
      </c>
      <c r="B48" s="3" t="s">
        <v>758</v>
      </c>
      <c r="C48" s="4" t="s">
        <v>25</v>
      </c>
      <c r="D48" s="3" t="s">
        <v>1758</v>
      </c>
      <c r="E48" s="3" t="s">
        <v>1759</v>
      </c>
      <c r="F48" s="3" t="s">
        <v>1723</v>
      </c>
      <c r="G48" s="5"/>
      <c r="H48" s="3" t="s">
        <v>1738</v>
      </c>
      <c r="I48" s="3" t="s">
        <v>1756</v>
      </c>
      <c r="J48" s="4" t="s">
        <v>21</v>
      </c>
      <c r="K48" s="6" t="s">
        <v>22</v>
      </c>
      <c r="L48" s="3"/>
      <c r="M48" s="4" t="s">
        <v>1544</v>
      </c>
    </row>
    <row r="49" customFormat="false" ht="15" hidden="false" customHeight="false" outlineLevel="0" collapsed="false">
      <c r="A49" s="7" t="s">
        <v>1760</v>
      </c>
      <c r="B49" s="7" t="s">
        <v>758</v>
      </c>
      <c r="C49" s="8" t="s">
        <v>31</v>
      </c>
      <c r="D49" s="7" t="s">
        <v>1761</v>
      </c>
      <c r="E49" s="7" t="s">
        <v>1762</v>
      </c>
      <c r="F49" s="7" t="s">
        <v>1728</v>
      </c>
      <c r="G49" s="9"/>
      <c r="H49" s="7" t="s">
        <v>1742</v>
      </c>
      <c r="I49" s="7" t="s">
        <v>1756</v>
      </c>
      <c r="J49" s="8" t="s">
        <v>21</v>
      </c>
      <c r="K49" s="6" t="s">
        <v>22</v>
      </c>
      <c r="L49" s="7"/>
      <c r="M49" s="8" t="s">
        <v>1544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12"/>
    <col collapsed="false" customWidth="true" hidden="false" outlineLevel="0" max="4" min="4" style="0" width="44"/>
    <col collapsed="false" customWidth="true" hidden="false" outlineLevel="0" max="5" min="5" style="0" width="45"/>
    <col collapsed="false" customWidth="true" hidden="false" outlineLevel="0" max="6" min="6" style="0" width="44"/>
    <col collapsed="false" customWidth="true" hidden="false" outlineLevel="0" max="7" min="7" style="0" width="12"/>
    <col collapsed="false" customWidth="true" hidden="false" outlineLevel="0" max="8" min="8" style="0" width="44"/>
    <col collapsed="false" customWidth="true" hidden="false" outlineLevel="0" max="9" min="9" style="0" width="28"/>
    <col collapsed="false" customWidth="true" hidden="false" outlineLevel="0" max="10" min="10" style="0" width="18"/>
    <col collapsed="false" customWidth="true" hidden="false" outlineLevel="0" max="11" min="11" style="0" width="20"/>
    <col collapsed="false" customWidth="true" hidden="false" outlineLevel="0" max="12" min="12" style="0" width="38"/>
    <col collapsed="false" customWidth="true" hidden="false" outlineLevel="0" max="13" min="13" style="0" width="16"/>
  </cols>
  <sheetData>
    <row r="1" customFormat="false" ht="24" hidden="false" customHeight="true" outlineLevel="0" collapsed="false">
      <c r="A1" s="1" t="s">
        <v>0</v>
      </c>
      <c r="B1" s="1" t="s">
        <v>1</v>
      </c>
      <c r="C1" s="2" t="s">
        <v>2</v>
      </c>
      <c r="D1" s="1" t="s">
        <v>3</v>
      </c>
      <c r="E1" s="1" t="s">
        <v>4</v>
      </c>
      <c r="F1" s="1" t="s">
        <v>5</v>
      </c>
      <c r="G1" s="2" t="s">
        <v>6</v>
      </c>
      <c r="H1" s="1" t="s">
        <v>7</v>
      </c>
      <c r="I1" s="1" t="s">
        <v>8</v>
      </c>
      <c r="J1" s="2" t="s">
        <v>9</v>
      </c>
      <c r="K1" s="2" t="s">
        <v>10</v>
      </c>
      <c r="L1" s="1" t="s">
        <v>11</v>
      </c>
      <c r="M1" s="2" t="s">
        <v>12</v>
      </c>
    </row>
    <row r="2" customFormat="false" ht="15" hidden="false" customHeight="false" outlineLevel="0" collapsed="false">
      <c r="A2" s="3" t="s">
        <v>1763</v>
      </c>
      <c r="B2" s="3" t="s">
        <v>1764</v>
      </c>
      <c r="C2" s="4" t="s">
        <v>15</v>
      </c>
      <c r="D2" s="3" t="s">
        <v>1765</v>
      </c>
      <c r="E2" s="3" t="s">
        <v>1766</v>
      </c>
      <c r="F2" s="3" t="s">
        <v>18</v>
      </c>
      <c r="G2" s="11" t="n">
        <v>2026</v>
      </c>
      <c r="H2" s="3" t="s">
        <v>1767</v>
      </c>
      <c r="I2" s="3" t="s">
        <v>1768</v>
      </c>
      <c r="J2" s="4" t="s">
        <v>1769</v>
      </c>
      <c r="K2" s="16" t="s">
        <v>1770</v>
      </c>
      <c r="L2" s="3"/>
      <c r="M2" s="4" t="s">
        <v>1771</v>
      </c>
    </row>
    <row r="3" customFormat="false" ht="15" hidden="false" customHeight="false" outlineLevel="0" collapsed="false">
      <c r="A3" s="7" t="s">
        <v>1772</v>
      </c>
      <c r="B3" s="7" t="s">
        <v>1764</v>
      </c>
      <c r="C3" s="8" t="s">
        <v>25</v>
      </c>
      <c r="D3" s="7" t="s">
        <v>1773</v>
      </c>
      <c r="E3" s="7" t="s">
        <v>1774</v>
      </c>
      <c r="F3" s="7" t="s">
        <v>28</v>
      </c>
      <c r="G3" s="10" t="n">
        <v>2026</v>
      </c>
      <c r="H3" s="7" t="s">
        <v>1775</v>
      </c>
      <c r="I3" s="7" t="s">
        <v>1768</v>
      </c>
      <c r="J3" s="8" t="s">
        <v>1769</v>
      </c>
      <c r="K3" s="16" t="s">
        <v>1770</v>
      </c>
      <c r="L3" s="7"/>
      <c r="M3" s="8" t="s">
        <v>1771</v>
      </c>
    </row>
    <row r="4" customFormat="false" ht="15" hidden="false" customHeight="false" outlineLevel="0" collapsed="false">
      <c r="A4" s="3" t="s">
        <v>1776</v>
      </c>
      <c r="B4" s="3" t="s">
        <v>1764</v>
      </c>
      <c r="C4" s="4" t="s">
        <v>31</v>
      </c>
      <c r="D4" s="3" t="s">
        <v>1777</v>
      </c>
      <c r="E4" s="3" t="s">
        <v>1778</v>
      </c>
      <c r="F4" s="3" t="s">
        <v>34</v>
      </c>
      <c r="G4" s="11" t="n">
        <v>2026</v>
      </c>
      <c r="H4" s="3" t="s">
        <v>1779</v>
      </c>
      <c r="I4" s="3" t="s">
        <v>1768</v>
      </c>
      <c r="J4" s="4" t="s">
        <v>1769</v>
      </c>
      <c r="K4" s="16" t="s">
        <v>1770</v>
      </c>
      <c r="L4" s="3"/>
      <c r="M4" s="4" t="s">
        <v>1771</v>
      </c>
    </row>
    <row r="5" customFormat="false" ht="15" hidden="false" customHeight="false" outlineLevel="0" collapsed="false">
      <c r="A5" s="7" t="s">
        <v>1780</v>
      </c>
      <c r="B5" s="7" t="s">
        <v>1764</v>
      </c>
      <c r="C5" s="8" t="s">
        <v>15</v>
      </c>
      <c r="D5" s="7" t="s">
        <v>1781</v>
      </c>
      <c r="E5" s="7" t="s">
        <v>1766</v>
      </c>
      <c r="F5" s="7" t="s">
        <v>18</v>
      </c>
      <c r="G5" s="9"/>
      <c r="H5" s="7" t="s">
        <v>1782</v>
      </c>
      <c r="I5" s="7" t="s">
        <v>1783</v>
      </c>
      <c r="J5" s="8" t="s">
        <v>1769</v>
      </c>
      <c r="K5" s="16" t="s">
        <v>1770</v>
      </c>
      <c r="L5" s="7"/>
      <c r="M5" s="8" t="s">
        <v>1771</v>
      </c>
    </row>
    <row r="6" customFormat="false" ht="15" hidden="false" customHeight="false" outlineLevel="0" collapsed="false">
      <c r="A6" s="3" t="s">
        <v>1784</v>
      </c>
      <c r="B6" s="3" t="s">
        <v>1764</v>
      </c>
      <c r="C6" s="4" t="s">
        <v>25</v>
      </c>
      <c r="D6" s="3" t="s">
        <v>1785</v>
      </c>
      <c r="E6" s="3" t="s">
        <v>1774</v>
      </c>
      <c r="F6" s="3" t="s">
        <v>28</v>
      </c>
      <c r="G6" s="5"/>
      <c r="H6" s="3" t="s">
        <v>1786</v>
      </c>
      <c r="I6" s="3" t="s">
        <v>1783</v>
      </c>
      <c r="J6" s="4" t="s">
        <v>1769</v>
      </c>
      <c r="K6" s="16" t="s">
        <v>1770</v>
      </c>
      <c r="L6" s="3"/>
      <c r="M6" s="4" t="s">
        <v>1771</v>
      </c>
    </row>
    <row r="7" customFormat="false" ht="15" hidden="false" customHeight="false" outlineLevel="0" collapsed="false">
      <c r="A7" s="7" t="s">
        <v>1787</v>
      </c>
      <c r="B7" s="7" t="s">
        <v>1764</v>
      </c>
      <c r="C7" s="8" t="s">
        <v>31</v>
      </c>
      <c r="D7" s="7" t="s">
        <v>1788</v>
      </c>
      <c r="E7" s="7" t="s">
        <v>1778</v>
      </c>
      <c r="F7" s="7" t="s">
        <v>34</v>
      </c>
      <c r="G7" s="9"/>
      <c r="H7" s="7" t="s">
        <v>1789</v>
      </c>
      <c r="I7" s="7" t="s">
        <v>1783</v>
      </c>
      <c r="J7" s="8" t="s">
        <v>1769</v>
      </c>
      <c r="K7" s="16" t="s">
        <v>1770</v>
      </c>
      <c r="L7" s="7"/>
      <c r="M7" s="8" t="s">
        <v>1771</v>
      </c>
    </row>
    <row r="8" customFormat="false" ht="15" hidden="false" customHeight="false" outlineLevel="0" collapsed="false">
      <c r="A8" s="3" t="s">
        <v>1790</v>
      </c>
      <c r="B8" s="3" t="s">
        <v>1764</v>
      </c>
      <c r="C8" s="4" t="s">
        <v>15</v>
      </c>
      <c r="D8" s="3" t="s">
        <v>1791</v>
      </c>
      <c r="E8" s="3" t="s">
        <v>1766</v>
      </c>
      <c r="F8" s="3" t="s">
        <v>18</v>
      </c>
      <c r="G8" s="5"/>
      <c r="H8" s="3" t="s">
        <v>1792</v>
      </c>
      <c r="I8" s="3" t="s">
        <v>1793</v>
      </c>
      <c r="J8" s="4" t="s">
        <v>1769</v>
      </c>
      <c r="K8" s="16" t="s">
        <v>1770</v>
      </c>
      <c r="L8" s="3"/>
      <c r="M8" s="4" t="s">
        <v>1771</v>
      </c>
    </row>
    <row r="9" customFormat="false" ht="15" hidden="false" customHeight="false" outlineLevel="0" collapsed="false">
      <c r="A9" s="7" t="s">
        <v>1794</v>
      </c>
      <c r="B9" s="7" t="s">
        <v>1764</v>
      </c>
      <c r="C9" s="8" t="s">
        <v>25</v>
      </c>
      <c r="D9" s="7" t="s">
        <v>1795</v>
      </c>
      <c r="E9" s="7" t="s">
        <v>1774</v>
      </c>
      <c r="F9" s="7" t="s">
        <v>28</v>
      </c>
      <c r="G9" s="9"/>
      <c r="H9" s="7" t="s">
        <v>1796</v>
      </c>
      <c r="I9" s="7" t="s">
        <v>1793</v>
      </c>
      <c r="J9" s="8" t="s">
        <v>1769</v>
      </c>
      <c r="K9" s="16" t="s">
        <v>1770</v>
      </c>
      <c r="L9" s="7"/>
      <c r="M9" s="8" t="s">
        <v>1771</v>
      </c>
    </row>
    <row r="10" customFormat="false" ht="15" hidden="false" customHeight="false" outlineLevel="0" collapsed="false">
      <c r="A10" s="3" t="s">
        <v>1797</v>
      </c>
      <c r="B10" s="3" t="s">
        <v>1764</v>
      </c>
      <c r="C10" s="4" t="s">
        <v>31</v>
      </c>
      <c r="D10" s="3" t="s">
        <v>1798</v>
      </c>
      <c r="E10" s="3" t="s">
        <v>1778</v>
      </c>
      <c r="F10" s="3" t="s">
        <v>34</v>
      </c>
      <c r="G10" s="5"/>
      <c r="H10" s="3" t="s">
        <v>1799</v>
      </c>
      <c r="I10" s="3" t="s">
        <v>1793</v>
      </c>
      <c r="J10" s="4" t="s">
        <v>1769</v>
      </c>
      <c r="K10" s="16" t="s">
        <v>1770</v>
      </c>
      <c r="L10" s="3"/>
      <c r="M10" s="4" t="s">
        <v>1771</v>
      </c>
    </row>
    <row r="11" customFormat="false" ht="15" hidden="false" customHeight="false" outlineLevel="0" collapsed="false">
      <c r="A11" s="7" t="s">
        <v>1800</v>
      </c>
      <c r="B11" s="7" t="s">
        <v>1764</v>
      </c>
      <c r="C11" s="8" t="s">
        <v>15</v>
      </c>
      <c r="D11" s="7" t="s">
        <v>1801</v>
      </c>
      <c r="E11" s="7" t="s">
        <v>1766</v>
      </c>
      <c r="F11" s="7" t="s">
        <v>18</v>
      </c>
      <c r="G11" s="9"/>
      <c r="H11" s="7" t="s">
        <v>1802</v>
      </c>
      <c r="I11" s="7" t="s">
        <v>1803</v>
      </c>
      <c r="J11" s="8" t="s">
        <v>1769</v>
      </c>
      <c r="K11" s="16" t="s">
        <v>1770</v>
      </c>
      <c r="L11" s="7"/>
      <c r="M11" s="8" t="s">
        <v>1771</v>
      </c>
    </row>
    <row r="12" customFormat="false" ht="15" hidden="false" customHeight="false" outlineLevel="0" collapsed="false">
      <c r="A12" s="3" t="s">
        <v>1804</v>
      </c>
      <c r="B12" s="3" t="s">
        <v>1764</v>
      </c>
      <c r="C12" s="4" t="s">
        <v>25</v>
      </c>
      <c r="D12" s="3" t="s">
        <v>1805</v>
      </c>
      <c r="E12" s="3" t="s">
        <v>1774</v>
      </c>
      <c r="F12" s="3" t="s">
        <v>28</v>
      </c>
      <c r="G12" s="5"/>
      <c r="H12" s="3" t="s">
        <v>1806</v>
      </c>
      <c r="I12" s="3" t="s">
        <v>1803</v>
      </c>
      <c r="J12" s="4" t="s">
        <v>1769</v>
      </c>
      <c r="K12" s="16" t="s">
        <v>1770</v>
      </c>
      <c r="L12" s="3"/>
      <c r="M12" s="4" t="s">
        <v>1771</v>
      </c>
    </row>
    <row r="13" customFormat="false" ht="15" hidden="false" customHeight="false" outlineLevel="0" collapsed="false">
      <c r="A13" s="7" t="s">
        <v>1807</v>
      </c>
      <c r="B13" s="7" t="s">
        <v>1764</v>
      </c>
      <c r="C13" s="8" t="s">
        <v>31</v>
      </c>
      <c r="D13" s="7" t="s">
        <v>1808</v>
      </c>
      <c r="E13" s="7" t="s">
        <v>1778</v>
      </c>
      <c r="F13" s="7" t="s">
        <v>34</v>
      </c>
      <c r="G13" s="9"/>
      <c r="H13" s="7" t="s">
        <v>1809</v>
      </c>
      <c r="I13" s="7" t="s">
        <v>1803</v>
      </c>
      <c r="J13" s="8" t="s">
        <v>1769</v>
      </c>
      <c r="K13" s="16" t="s">
        <v>1770</v>
      </c>
      <c r="L13" s="7"/>
      <c r="M13" s="8" t="s">
        <v>1771</v>
      </c>
    </row>
    <row r="14" customFormat="false" ht="15" hidden="false" customHeight="false" outlineLevel="0" collapsed="false">
      <c r="A14" s="3" t="s">
        <v>1810</v>
      </c>
      <c r="B14" s="3" t="s">
        <v>1764</v>
      </c>
      <c r="C14" s="4" t="s">
        <v>15</v>
      </c>
      <c r="D14" s="3" t="s">
        <v>1811</v>
      </c>
      <c r="E14" s="3" t="s">
        <v>1766</v>
      </c>
      <c r="F14" s="3" t="s">
        <v>18</v>
      </c>
      <c r="G14" s="5"/>
      <c r="H14" s="3" t="s">
        <v>1812</v>
      </c>
      <c r="I14" s="3" t="s">
        <v>1813</v>
      </c>
      <c r="J14" s="4" t="s">
        <v>1769</v>
      </c>
      <c r="K14" s="16" t="s">
        <v>1770</v>
      </c>
      <c r="L14" s="3"/>
      <c r="M14" s="4" t="s">
        <v>1771</v>
      </c>
    </row>
    <row r="15" customFormat="false" ht="15" hidden="false" customHeight="false" outlineLevel="0" collapsed="false">
      <c r="A15" s="7" t="s">
        <v>1814</v>
      </c>
      <c r="B15" s="7" t="s">
        <v>1764</v>
      </c>
      <c r="C15" s="8" t="s">
        <v>25</v>
      </c>
      <c r="D15" s="7" t="s">
        <v>1815</v>
      </c>
      <c r="E15" s="7" t="s">
        <v>1774</v>
      </c>
      <c r="F15" s="7" t="s">
        <v>28</v>
      </c>
      <c r="G15" s="9"/>
      <c r="H15" s="7" t="s">
        <v>1816</v>
      </c>
      <c r="I15" s="7" t="s">
        <v>1813</v>
      </c>
      <c r="J15" s="8" t="s">
        <v>1769</v>
      </c>
      <c r="K15" s="16" t="s">
        <v>1770</v>
      </c>
      <c r="L15" s="7"/>
      <c r="M15" s="8" t="s">
        <v>1771</v>
      </c>
    </row>
    <row r="16" customFormat="false" ht="15" hidden="false" customHeight="false" outlineLevel="0" collapsed="false">
      <c r="A16" s="3" t="s">
        <v>1817</v>
      </c>
      <c r="B16" s="3" t="s">
        <v>1764</v>
      </c>
      <c r="C16" s="4" t="s">
        <v>31</v>
      </c>
      <c r="D16" s="3" t="s">
        <v>1818</v>
      </c>
      <c r="E16" s="3" t="s">
        <v>1778</v>
      </c>
      <c r="F16" s="3" t="s">
        <v>34</v>
      </c>
      <c r="G16" s="5"/>
      <c r="H16" s="3" t="s">
        <v>1819</v>
      </c>
      <c r="I16" s="3" t="s">
        <v>1813</v>
      </c>
      <c r="J16" s="4" t="s">
        <v>1769</v>
      </c>
      <c r="K16" s="16" t="s">
        <v>1770</v>
      </c>
      <c r="L16" s="3"/>
      <c r="M16" s="4" t="s">
        <v>1771</v>
      </c>
    </row>
    <row r="17" customFormat="false" ht="15" hidden="false" customHeight="false" outlineLevel="0" collapsed="false">
      <c r="A17" s="7" t="s">
        <v>1820</v>
      </c>
      <c r="B17" s="7" t="s">
        <v>1764</v>
      </c>
      <c r="C17" s="8" t="s">
        <v>15</v>
      </c>
      <c r="D17" s="7" t="s">
        <v>1821</v>
      </c>
      <c r="E17" s="7" t="s">
        <v>1766</v>
      </c>
      <c r="F17" s="7" t="s">
        <v>18</v>
      </c>
      <c r="G17" s="9"/>
      <c r="H17" s="7" t="s">
        <v>1822</v>
      </c>
      <c r="I17" s="7" t="s">
        <v>1823</v>
      </c>
      <c r="J17" s="8" t="s">
        <v>1769</v>
      </c>
      <c r="K17" s="16" t="s">
        <v>1770</v>
      </c>
      <c r="L17" s="7"/>
      <c r="M17" s="8" t="s">
        <v>1771</v>
      </c>
    </row>
    <row r="18" customFormat="false" ht="15" hidden="false" customHeight="false" outlineLevel="0" collapsed="false">
      <c r="A18" s="3" t="s">
        <v>1824</v>
      </c>
      <c r="B18" s="3" t="s">
        <v>1764</v>
      </c>
      <c r="C18" s="4" t="s">
        <v>25</v>
      </c>
      <c r="D18" s="3" t="s">
        <v>1825</v>
      </c>
      <c r="E18" s="3" t="s">
        <v>1774</v>
      </c>
      <c r="F18" s="3" t="s">
        <v>28</v>
      </c>
      <c r="G18" s="5"/>
      <c r="H18" s="3" t="s">
        <v>1826</v>
      </c>
      <c r="I18" s="3" t="s">
        <v>1823</v>
      </c>
      <c r="J18" s="4" t="s">
        <v>1769</v>
      </c>
      <c r="K18" s="16" t="s">
        <v>1770</v>
      </c>
      <c r="L18" s="3"/>
      <c r="M18" s="4" t="s">
        <v>1771</v>
      </c>
    </row>
    <row r="19" customFormat="false" ht="15" hidden="false" customHeight="false" outlineLevel="0" collapsed="false">
      <c r="A19" s="7" t="s">
        <v>1827</v>
      </c>
      <c r="B19" s="7" t="s">
        <v>1764</v>
      </c>
      <c r="C19" s="8" t="s">
        <v>31</v>
      </c>
      <c r="D19" s="7" t="s">
        <v>1828</v>
      </c>
      <c r="E19" s="7" t="s">
        <v>1778</v>
      </c>
      <c r="F19" s="7" t="s">
        <v>34</v>
      </c>
      <c r="G19" s="9"/>
      <c r="H19" s="7" t="s">
        <v>1829</v>
      </c>
      <c r="I19" s="7" t="s">
        <v>1823</v>
      </c>
      <c r="J19" s="8" t="s">
        <v>1769</v>
      </c>
      <c r="K19" s="16" t="s">
        <v>1770</v>
      </c>
      <c r="L19" s="7"/>
      <c r="M19" s="8" t="s">
        <v>1771</v>
      </c>
    </row>
    <row r="20" customFormat="false" ht="15" hidden="false" customHeight="false" outlineLevel="0" collapsed="false">
      <c r="A20" s="3" t="s">
        <v>1830</v>
      </c>
      <c r="B20" s="3" t="s">
        <v>1764</v>
      </c>
      <c r="C20" s="4" t="s">
        <v>15</v>
      </c>
      <c r="D20" s="3" t="s">
        <v>1831</v>
      </c>
      <c r="E20" s="3" t="s">
        <v>1766</v>
      </c>
      <c r="F20" s="3" t="s">
        <v>18</v>
      </c>
      <c r="G20" s="5"/>
      <c r="H20" s="3" t="s">
        <v>1832</v>
      </c>
      <c r="I20" s="3" t="s">
        <v>1833</v>
      </c>
      <c r="J20" s="4" t="s">
        <v>1769</v>
      </c>
      <c r="K20" s="16" t="s">
        <v>1770</v>
      </c>
      <c r="L20" s="3"/>
      <c r="M20" s="4" t="s">
        <v>1771</v>
      </c>
    </row>
    <row r="21" customFormat="false" ht="15" hidden="false" customHeight="false" outlineLevel="0" collapsed="false">
      <c r="A21" s="7" t="s">
        <v>1834</v>
      </c>
      <c r="B21" s="7" t="s">
        <v>1764</v>
      </c>
      <c r="C21" s="8" t="s">
        <v>25</v>
      </c>
      <c r="D21" s="7" t="s">
        <v>1835</v>
      </c>
      <c r="E21" s="7" t="s">
        <v>1774</v>
      </c>
      <c r="F21" s="7" t="s">
        <v>28</v>
      </c>
      <c r="G21" s="9"/>
      <c r="H21" s="7" t="s">
        <v>1836</v>
      </c>
      <c r="I21" s="7" t="s">
        <v>1833</v>
      </c>
      <c r="J21" s="8" t="s">
        <v>1769</v>
      </c>
      <c r="K21" s="16" t="s">
        <v>1770</v>
      </c>
      <c r="L21" s="7"/>
      <c r="M21" s="8" t="s">
        <v>1771</v>
      </c>
    </row>
    <row r="22" customFormat="false" ht="15" hidden="false" customHeight="false" outlineLevel="0" collapsed="false">
      <c r="A22" s="3" t="s">
        <v>1837</v>
      </c>
      <c r="B22" s="3" t="s">
        <v>1764</v>
      </c>
      <c r="C22" s="4" t="s">
        <v>31</v>
      </c>
      <c r="D22" s="3" t="s">
        <v>1838</v>
      </c>
      <c r="E22" s="3" t="s">
        <v>1778</v>
      </c>
      <c r="F22" s="3" t="s">
        <v>34</v>
      </c>
      <c r="G22" s="5"/>
      <c r="H22" s="3" t="s">
        <v>1839</v>
      </c>
      <c r="I22" s="3" t="s">
        <v>1833</v>
      </c>
      <c r="J22" s="4" t="s">
        <v>1769</v>
      </c>
      <c r="K22" s="16" t="s">
        <v>1770</v>
      </c>
      <c r="L22" s="3"/>
      <c r="M22" s="4" t="s">
        <v>1771</v>
      </c>
    </row>
    <row r="23" customFormat="false" ht="15" hidden="false" customHeight="false" outlineLevel="0" collapsed="false">
      <c r="A23" s="7" t="s">
        <v>1840</v>
      </c>
      <c r="B23" s="7" t="s">
        <v>1764</v>
      </c>
      <c r="C23" s="8" t="s">
        <v>15</v>
      </c>
      <c r="D23" s="7" t="s">
        <v>1841</v>
      </c>
      <c r="E23" s="7" t="s">
        <v>1766</v>
      </c>
      <c r="F23" s="7" t="s">
        <v>18</v>
      </c>
      <c r="G23" s="9"/>
      <c r="H23" s="7" t="s">
        <v>1842</v>
      </c>
      <c r="I23" s="7" t="s">
        <v>1843</v>
      </c>
      <c r="J23" s="8" t="s">
        <v>1769</v>
      </c>
      <c r="K23" s="16" t="s">
        <v>1770</v>
      </c>
      <c r="L23" s="7"/>
      <c r="M23" s="8" t="s">
        <v>1771</v>
      </c>
    </row>
    <row r="24" customFormat="false" ht="15" hidden="false" customHeight="false" outlineLevel="0" collapsed="false">
      <c r="A24" s="3" t="s">
        <v>1844</v>
      </c>
      <c r="B24" s="3" t="s">
        <v>1764</v>
      </c>
      <c r="C24" s="4" t="s">
        <v>25</v>
      </c>
      <c r="D24" s="3" t="s">
        <v>1845</v>
      </c>
      <c r="E24" s="3" t="s">
        <v>1774</v>
      </c>
      <c r="F24" s="3" t="s">
        <v>28</v>
      </c>
      <c r="G24" s="5"/>
      <c r="H24" s="3" t="s">
        <v>1846</v>
      </c>
      <c r="I24" s="3" t="s">
        <v>1843</v>
      </c>
      <c r="J24" s="4" t="s">
        <v>1769</v>
      </c>
      <c r="K24" s="16" t="s">
        <v>1770</v>
      </c>
      <c r="L24" s="3"/>
      <c r="M24" s="4" t="s">
        <v>1771</v>
      </c>
    </row>
    <row r="25" customFormat="false" ht="15" hidden="false" customHeight="false" outlineLevel="0" collapsed="false">
      <c r="A25" s="7" t="s">
        <v>1847</v>
      </c>
      <c r="B25" s="7" t="s">
        <v>1764</v>
      </c>
      <c r="C25" s="8" t="s">
        <v>31</v>
      </c>
      <c r="D25" s="7" t="s">
        <v>1848</v>
      </c>
      <c r="E25" s="7" t="s">
        <v>1778</v>
      </c>
      <c r="F25" s="7" t="s">
        <v>34</v>
      </c>
      <c r="G25" s="9"/>
      <c r="H25" s="7" t="s">
        <v>1849</v>
      </c>
      <c r="I25" s="7" t="s">
        <v>1843</v>
      </c>
      <c r="J25" s="8" t="s">
        <v>1769</v>
      </c>
      <c r="K25" s="16" t="s">
        <v>1770</v>
      </c>
      <c r="L25" s="7"/>
      <c r="M25" s="8" t="s">
        <v>1771</v>
      </c>
    </row>
    <row r="26" customFormat="false" ht="15" hidden="false" customHeight="false" outlineLevel="0" collapsed="false">
      <c r="A26" s="3" t="s">
        <v>1850</v>
      </c>
      <c r="B26" s="3" t="s">
        <v>1764</v>
      </c>
      <c r="C26" s="4" t="s">
        <v>15</v>
      </c>
      <c r="D26" s="3" t="s">
        <v>1851</v>
      </c>
      <c r="E26" s="3" t="s">
        <v>1766</v>
      </c>
      <c r="F26" s="3" t="s">
        <v>18</v>
      </c>
      <c r="G26" s="11" t="n">
        <v>2026</v>
      </c>
      <c r="H26" s="3" t="s">
        <v>1852</v>
      </c>
      <c r="I26" s="3" t="s">
        <v>1853</v>
      </c>
      <c r="J26" s="4" t="s">
        <v>1769</v>
      </c>
      <c r="K26" s="16" t="s">
        <v>1770</v>
      </c>
      <c r="L26" s="3"/>
      <c r="M26" s="4" t="s">
        <v>1771</v>
      </c>
    </row>
    <row r="27" customFormat="false" ht="15" hidden="false" customHeight="false" outlineLevel="0" collapsed="false">
      <c r="A27" s="7" t="s">
        <v>1854</v>
      </c>
      <c r="B27" s="7" t="s">
        <v>1764</v>
      </c>
      <c r="C27" s="8" t="s">
        <v>25</v>
      </c>
      <c r="D27" s="7" t="s">
        <v>1855</v>
      </c>
      <c r="E27" s="7" t="s">
        <v>1774</v>
      </c>
      <c r="F27" s="7" t="s">
        <v>28</v>
      </c>
      <c r="G27" s="10" t="n">
        <v>2026</v>
      </c>
      <c r="H27" s="7" t="s">
        <v>1856</v>
      </c>
      <c r="I27" s="7" t="s">
        <v>1853</v>
      </c>
      <c r="J27" s="8" t="s">
        <v>1769</v>
      </c>
      <c r="K27" s="16" t="s">
        <v>1770</v>
      </c>
      <c r="L27" s="7"/>
      <c r="M27" s="8" t="s">
        <v>1771</v>
      </c>
    </row>
    <row r="28" customFormat="false" ht="15" hidden="false" customHeight="false" outlineLevel="0" collapsed="false">
      <c r="A28" s="3" t="s">
        <v>1857</v>
      </c>
      <c r="B28" s="3" t="s">
        <v>1764</v>
      </c>
      <c r="C28" s="4" t="s">
        <v>31</v>
      </c>
      <c r="D28" s="3" t="s">
        <v>1858</v>
      </c>
      <c r="E28" s="3" t="s">
        <v>1778</v>
      </c>
      <c r="F28" s="3" t="s">
        <v>34</v>
      </c>
      <c r="G28" s="11" t="n">
        <v>2026</v>
      </c>
      <c r="H28" s="3" t="s">
        <v>1859</v>
      </c>
      <c r="I28" s="3" t="s">
        <v>1853</v>
      </c>
      <c r="J28" s="4" t="s">
        <v>1769</v>
      </c>
      <c r="K28" s="16" t="s">
        <v>1770</v>
      </c>
      <c r="L28" s="3"/>
      <c r="M28" s="4" t="s">
        <v>1771</v>
      </c>
    </row>
    <row r="29" customFormat="false" ht="15" hidden="false" customHeight="false" outlineLevel="0" collapsed="false">
      <c r="A29" s="7" t="s">
        <v>1860</v>
      </c>
      <c r="B29" s="7" t="s">
        <v>1764</v>
      </c>
      <c r="C29" s="8" t="s">
        <v>15</v>
      </c>
      <c r="D29" s="7" t="s">
        <v>1861</v>
      </c>
      <c r="E29" s="7" t="s">
        <v>1766</v>
      </c>
      <c r="F29" s="7" t="s">
        <v>18</v>
      </c>
      <c r="G29" s="9"/>
      <c r="H29" s="7" t="s">
        <v>1862</v>
      </c>
      <c r="I29" s="7" t="s">
        <v>1863</v>
      </c>
      <c r="J29" s="8" t="s">
        <v>1769</v>
      </c>
      <c r="K29" s="16" t="s">
        <v>1770</v>
      </c>
      <c r="L29" s="7"/>
      <c r="M29" s="8" t="s">
        <v>1771</v>
      </c>
    </row>
    <row r="30" customFormat="false" ht="15" hidden="false" customHeight="false" outlineLevel="0" collapsed="false">
      <c r="A30" s="3" t="s">
        <v>1864</v>
      </c>
      <c r="B30" s="3" t="s">
        <v>1764</v>
      </c>
      <c r="C30" s="4" t="s">
        <v>25</v>
      </c>
      <c r="D30" s="3" t="s">
        <v>1865</v>
      </c>
      <c r="E30" s="3" t="s">
        <v>1774</v>
      </c>
      <c r="F30" s="3" t="s">
        <v>28</v>
      </c>
      <c r="G30" s="5"/>
      <c r="H30" s="3" t="s">
        <v>1866</v>
      </c>
      <c r="I30" s="3" t="s">
        <v>1863</v>
      </c>
      <c r="J30" s="4" t="s">
        <v>1769</v>
      </c>
      <c r="K30" s="16" t="s">
        <v>1770</v>
      </c>
      <c r="L30" s="3"/>
      <c r="M30" s="4" t="s">
        <v>1771</v>
      </c>
    </row>
    <row r="31" customFormat="false" ht="15" hidden="false" customHeight="false" outlineLevel="0" collapsed="false">
      <c r="A31" s="7" t="s">
        <v>1867</v>
      </c>
      <c r="B31" s="7" t="s">
        <v>1764</v>
      </c>
      <c r="C31" s="8" t="s">
        <v>31</v>
      </c>
      <c r="D31" s="7" t="s">
        <v>1868</v>
      </c>
      <c r="E31" s="7" t="s">
        <v>1778</v>
      </c>
      <c r="F31" s="7" t="s">
        <v>34</v>
      </c>
      <c r="G31" s="9"/>
      <c r="H31" s="7" t="s">
        <v>1869</v>
      </c>
      <c r="I31" s="7" t="s">
        <v>1863</v>
      </c>
      <c r="J31" s="8" t="s">
        <v>1769</v>
      </c>
      <c r="K31" s="16" t="s">
        <v>1770</v>
      </c>
      <c r="L31" s="7"/>
      <c r="M31" s="8" t="s">
        <v>1771</v>
      </c>
    </row>
    <row r="32" customFormat="false" ht="15" hidden="false" customHeight="false" outlineLevel="0" collapsed="false">
      <c r="A32" s="3" t="s">
        <v>1870</v>
      </c>
      <c r="B32" s="3" t="s">
        <v>620</v>
      </c>
      <c r="C32" s="4" t="s">
        <v>15</v>
      </c>
      <c r="D32" s="3" t="s">
        <v>1871</v>
      </c>
      <c r="E32" s="3" t="s">
        <v>1872</v>
      </c>
      <c r="F32" s="3" t="s">
        <v>681</v>
      </c>
      <c r="G32" s="11" t="n">
        <v>2026</v>
      </c>
      <c r="H32" s="3" t="s">
        <v>1873</v>
      </c>
      <c r="I32" s="3" t="s">
        <v>1874</v>
      </c>
      <c r="J32" s="4" t="s">
        <v>1875</v>
      </c>
      <c r="K32" s="6" t="s">
        <v>22</v>
      </c>
      <c r="L32" s="3"/>
      <c r="M32" s="4" t="s">
        <v>1771</v>
      </c>
    </row>
    <row r="33" customFormat="false" ht="15" hidden="false" customHeight="false" outlineLevel="0" collapsed="false">
      <c r="A33" s="7" t="s">
        <v>1876</v>
      </c>
      <c r="B33" s="7" t="s">
        <v>620</v>
      </c>
      <c r="C33" s="8" t="s">
        <v>25</v>
      </c>
      <c r="D33" s="7" t="s">
        <v>1877</v>
      </c>
      <c r="E33" s="7" t="s">
        <v>1878</v>
      </c>
      <c r="F33" s="7" t="s">
        <v>687</v>
      </c>
      <c r="G33" s="10" t="n">
        <v>2026</v>
      </c>
      <c r="H33" s="7" t="s">
        <v>1879</v>
      </c>
      <c r="I33" s="7" t="s">
        <v>1874</v>
      </c>
      <c r="J33" s="8" t="s">
        <v>1875</v>
      </c>
      <c r="K33" s="6" t="s">
        <v>22</v>
      </c>
      <c r="L33" s="7"/>
      <c r="M33" s="8" t="s">
        <v>1771</v>
      </c>
    </row>
    <row r="34" customFormat="false" ht="15" hidden="false" customHeight="false" outlineLevel="0" collapsed="false">
      <c r="A34" s="3" t="s">
        <v>1880</v>
      </c>
      <c r="B34" s="3" t="s">
        <v>620</v>
      </c>
      <c r="C34" s="4" t="s">
        <v>31</v>
      </c>
      <c r="D34" s="3" t="s">
        <v>1881</v>
      </c>
      <c r="E34" s="3" t="s">
        <v>1882</v>
      </c>
      <c r="F34" s="3" t="s">
        <v>692</v>
      </c>
      <c r="G34" s="11" t="n">
        <v>2026</v>
      </c>
      <c r="H34" s="3" t="s">
        <v>1883</v>
      </c>
      <c r="I34" s="3" t="s">
        <v>1874</v>
      </c>
      <c r="J34" s="4" t="s">
        <v>1875</v>
      </c>
      <c r="K34" s="6" t="s">
        <v>22</v>
      </c>
      <c r="L34" s="3"/>
      <c r="M34" s="4" t="s">
        <v>1771</v>
      </c>
    </row>
    <row r="35" customFormat="false" ht="15" hidden="false" customHeight="false" outlineLevel="0" collapsed="false">
      <c r="A35" s="7" t="s">
        <v>1884</v>
      </c>
      <c r="B35" s="7" t="s">
        <v>620</v>
      </c>
      <c r="C35" s="8" t="s">
        <v>15</v>
      </c>
      <c r="D35" s="7" t="s">
        <v>1885</v>
      </c>
      <c r="E35" s="7" t="s">
        <v>1886</v>
      </c>
      <c r="F35" s="7" t="s">
        <v>681</v>
      </c>
      <c r="G35" s="10" t="n">
        <v>2026</v>
      </c>
      <c r="H35" s="7" t="s">
        <v>1887</v>
      </c>
      <c r="I35" s="7" t="s">
        <v>1888</v>
      </c>
      <c r="J35" s="8" t="s">
        <v>1875</v>
      </c>
      <c r="K35" s="6" t="s">
        <v>22</v>
      </c>
      <c r="L35" s="7"/>
      <c r="M35" s="8" t="s">
        <v>1771</v>
      </c>
    </row>
    <row r="36" customFormat="false" ht="15" hidden="false" customHeight="false" outlineLevel="0" collapsed="false">
      <c r="A36" s="3" t="s">
        <v>1889</v>
      </c>
      <c r="B36" s="3" t="s">
        <v>620</v>
      </c>
      <c r="C36" s="4" t="s">
        <v>25</v>
      </c>
      <c r="D36" s="3" t="s">
        <v>1890</v>
      </c>
      <c r="E36" s="3" t="s">
        <v>1891</v>
      </c>
      <c r="F36" s="3" t="s">
        <v>687</v>
      </c>
      <c r="G36" s="11" t="n">
        <v>2026</v>
      </c>
      <c r="H36" s="3" t="s">
        <v>1892</v>
      </c>
      <c r="I36" s="3" t="s">
        <v>1888</v>
      </c>
      <c r="J36" s="4" t="s">
        <v>1875</v>
      </c>
      <c r="K36" s="6" t="s">
        <v>22</v>
      </c>
      <c r="L36" s="3"/>
      <c r="M36" s="4" t="s">
        <v>1771</v>
      </c>
    </row>
    <row r="37" customFormat="false" ht="15" hidden="false" customHeight="false" outlineLevel="0" collapsed="false">
      <c r="A37" s="7" t="s">
        <v>1893</v>
      </c>
      <c r="B37" s="7" t="s">
        <v>620</v>
      </c>
      <c r="C37" s="8" t="s">
        <v>31</v>
      </c>
      <c r="D37" s="7" t="s">
        <v>1894</v>
      </c>
      <c r="E37" s="7" t="s">
        <v>1895</v>
      </c>
      <c r="F37" s="7" t="s">
        <v>692</v>
      </c>
      <c r="G37" s="10" t="n">
        <v>2026</v>
      </c>
      <c r="H37" s="7" t="s">
        <v>1896</v>
      </c>
      <c r="I37" s="7" t="s">
        <v>1888</v>
      </c>
      <c r="J37" s="8" t="s">
        <v>1875</v>
      </c>
      <c r="K37" s="6" t="s">
        <v>22</v>
      </c>
      <c r="L37" s="7"/>
      <c r="M37" s="8" t="s">
        <v>1771</v>
      </c>
    </row>
    <row r="38" customFormat="false" ht="15" hidden="false" customHeight="false" outlineLevel="0" collapsed="false">
      <c r="A38" s="3" t="s">
        <v>1897</v>
      </c>
      <c r="B38" s="3" t="s">
        <v>448</v>
      </c>
      <c r="C38" s="4" t="s">
        <v>15</v>
      </c>
      <c r="D38" s="3" t="s">
        <v>1898</v>
      </c>
      <c r="E38" s="3" t="s">
        <v>1899</v>
      </c>
      <c r="F38" s="3" t="s">
        <v>18</v>
      </c>
      <c r="G38" s="11" t="n">
        <v>2026</v>
      </c>
      <c r="H38" s="3" t="s">
        <v>1900</v>
      </c>
      <c r="I38" s="3" t="s">
        <v>1901</v>
      </c>
      <c r="J38" s="4" t="s">
        <v>1875</v>
      </c>
      <c r="K38" s="6" t="s">
        <v>22</v>
      </c>
      <c r="L38" s="3"/>
      <c r="M38" s="4" t="s">
        <v>1771</v>
      </c>
    </row>
    <row r="39" customFormat="false" ht="15" hidden="false" customHeight="false" outlineLevel="0" collapsed="false">
      <c r="A39" s="7" t="s">
        <v>1902</v>
      </c>
      <c r="B39" s="7" t="s">
        <v>448</v>
      </c>
      <c r="C39" s="8" t="s">
        <v>25</v>
      </c>
      <c r="D39" s="7" t="s">
        <v>1903</v>
      </c>
      <c r="E39" s="7" t="s">
        <v>1904</v>
      </c>
      <c r="F39" s="7" t="s">
        <v>28</v>
      </c>
      <c r="G39" s="10" t="n">
        <v>2026</v>
      </c>
      <c r="H39" s="7" t="s">
        <v>1905</v>
      </c>
      <c r="I39" s="7" t="s">
        <v>1901</v>
      </c>
      <c r="J39" s="8" t="s">
        <v>1875</v>
      </c>
      <c r="K39" s="6" t="s">
        <v>22</v>
      </c>
      <c r="L39" s="7"/>
      <c r="M39" s="8" t="s">
        <v>1771</v>
      </c>
    </row>
    <row r="40" customFormat="false" ht="15" hidden="false" customHeight="false" outlineLevel="0" collapsed="false">
      <c r="A40" s="3" t="s">
        <v>1906</v>
      </c>
      <c r="B40" s="3" t="s">
        <v>448</v>
      </c>
      <c r="C40" s="4" t="s">
        <v>31</v>
      </c>
      <c r="D40" s="3" t="s">
        <v>1907</v>
      </c>
      <c r="E40" s="3" t="s">
        <v>1908</v>
      </c>
      <c r="F40" s="3" t="s">
        <v>34</v>
      </c>
      <c r="G40" s="11" t="n">
        <v>2026</v>
      </c>
      <c r="H40" s="3" t="s">
        <v>1909</v>
      </c>
      <c r="I40" s="3" t="s">
        <v>1901</v>
      </c>
      <c r="J40" s="4" t="s">
        <v>1875</v>
      </c>
      <c r="K40" s="6" t="s">
        <v>22</v>
      </c>
      <c r="L40" s="3"/>
      <c r="M40" s="4" t="s">
        <v>1771</v>
      </c>
    </row>
    <row r="41" customFormat="false" ht="15" hidden="false" customHeight="false" outlineLevel="0" collapsed="false">
      <c r="A41" s="7" t="s">
        <v>1910</v>
      </c>
      <c r="B41" s="7" t="s">
        <v>448</v>
      </c>
      <c r="C41" s="8" t="s">
        <v>15</v>
      </c>
      <c r="D41" s="7" t="s">
        <v>1911</v>
      </c>
      <c r="E41" s="7" t="s">
        <v>1912</v>
      </c>
      <c r="F41" s="7" t="s">
        <v>18</v>
      </c>
      <c r="G41" s="10" t="n">
        <v>2026</v>
      </c>
      <c r="H41" s="7" t="s">
        <v>1913</v>
      </c>
      <c r="I41" s="7" t="s">
        <v>1914</v>
      </c>
      <c r="J41" s="8" t="s">
        <v>1875</v>
      </c>
      <c r="K41" s="6" t="s">
        <v>22</v>
      </c>
      <c r="L41" s="7"/>
      <c r="M41" s="8" t="s">
        <v>1771</v>
      </c>
    </row>
    <row r="42" customFormat="false" ht="15" hidden="false" customHeight="false" outlineLevel="0" collapsed="false">
      <c r="A42" s="3" t="s">
        <v>1915</v>
      </c>
      <c r="B42" s="3" t="s">
        <v>448</v>
      </c>
      <c r="C42" s="4" t="s">
        <v>25</v>
      </c>
      <c r="D42" s="3" t="s">
        <v>1916</v>
      </c>
      <c r="E42" s="3" t="s">
        <v>1917</v>
      </c>
      <c r="F42" s="3" t="s">
        <v>28</v>
      </c>
      <c r="G42" s="11" t="n">
        <v>2026</v>
      </c>
      <c r="H42" s="3" t="s">
        <v>1918</v>
      </c>
      <c r="I42" s="3" t="s">
        <v>1914</v>
      </c>
      <c r="J42" s="4" t="s">
        <v>1875</v>
      </c>
      <c r="K42" s="6" t="s">
        <v>22</v>
      </c>
      <c r="L42" s="3"/>
      <c r="M42" s="4" t="s">
        <v>1771</v>
      </c>
    </row>
    <row r="43" customFormat="false" ht="15" hidden="false" customHeight="false" outlineLevel="0" collapsed="false">
      <c r="A43" s="7" t="s">
        <v>1919</v>
      </c>
      <c r="B43" s="7" t="s">
        <v>448</v>
      </c>
      <c r="C43" s="8" t="s">
        <v>31</v>
      </c>
      <c r="D43" s="7" t="s">
        <v>1920</v>
      </c>
      <c r="E43" s="7" t="s">
        <v>1921</v>
      </c>
      <c r="F43" s="7" t="s">
        <v>34</v>
      </c>
      <c r="G43" s="10" t="n">
        <v>2026</v>
      </c>
      <c r="H43" s="7" t="s">
        <v>1922</v>
      </c>
      <c r="I43" s="7" t="s">
        <v>1914</v>
      </c>
      <c r="J43" s="8" t="s">
        <v>1875</v>
      </c>
      <c r="K43" s="6" t="s">
        <v>22</v>
      </c>
      <c r="L43" s="7"/>
      <c r="M43" s="8" t="s">
        <v>1771</v>
      </c>
    </row>
    <row r="44" customFormat="false" ht="15" hidden="false" customHeight="false" outlineLevel="0" collapsed="false">
      <c r="A44" s="3" t="s">
        <v>1923</v>
      </c>
      <c r="B44" s="3" t="s">
        <v>91</v>
      </c>
      <c r="C44" s="4" t="s">
        <v>15</v>
      </c>
      <c r="D44" s="3" t="s">
        <v>1924</v>
      </c>
      <c r="E44" s="3" t="s">
        <v>1925</v>
      </c>
      <c r="F44" s="3" t="s">
        <v>18</v>
      </c>
      <c r="G44" s="5"/>
      <c r="H44" s="3" t="s">
        <v>1926</v>
      </c>
      <c r="I44" s="3" t="s">
        <v>1927</v>
      </c>
      <c r="J44" s="4" t="s">
        <v>1875</v>
      </c>
      <c r="K44" s="6" t="s">
        <v>22</v>
      </c>
      <c r="L44" s="3"/>
      <c r="M44" s="4" t="s">
        <v>1771</v>
      </c>
    </row>
    <row r="45" customFormat="false" ht="15" hidden="false" customHeight="false" outlineLevel="0" collapsed="false">
      <c r="A45" s="7" t="s">
        <v>1928</v>
      </c>
      <c r="B45" s="7" t="s">
        <v>91</v>
      </c>
      <c r="C45" s="8" t="s">
        <v>25</v>
      </c>
      <c r="D45" s="7" t="s">
        <v>1929</v>
      </c>
      <c r="E45" s="7" t="s">
        <v>1930</v>
      </c>
      <c r="F45" s="7" t="s">
        <v>28</v>
      </c>
      <c r="G45" s="9"/>
      <c r="H45" s="7" t="s">
        <v>1931</v>
      </c>
      <c r="I45" s="7" t="s">
        <v>1927</v>
      </c>
      <c r="J45" s="8" t="s">
        <v>1875</v>
      </c>
      <c r="K45" s="6" t="s">
        <v>22</v>
      </c>
      <c r="L45" s="7"/>
      <c r="M45" s="8" t="s">
        <v>1771</v>
      </c>
    </row>
    <row r="46" customFormat="false" ht="15" hidden="false" customHeight="false" outlineLevel="0" collapsed="false">
      <c r="A46" s="3" t="s">
        <v>1932</v>
      </c>
      <c r="B46" s="3" t="s">
        <v>91</v>
      </c>
      <c r="C46" s="4" t="s">
        <v>31</v>
      </c>
      <c r="D46" s="3" t="s">
        <v>1933</v>
      </c>
      <c r="E46" s="3" t="s">
        <v>1934</v>
      </c>
      <c r="F46" s="3" t="s">
        <v>34</v>
      </c>
      <c r="G46" s="5"/>
      <c r="H46" s="3" t="s">
        <v>1935</v>
      </c>
      <c r="I46" s="3" t="s">
        <v>1927</v>
      </c>
      <c r="J46" s="4" t="s">
        <v>1875</v>
      </c>
      <c r="K46" s="6" t="s">
        <v>22</v>
      </c>
      <c r="L46" s="3"/>
      <c r="M46" s="4" t="s">
        <v>1771</v>
      </c>
    </row>
    <row r="47" customFormat="false" ht="15" hidden="false" customHeight="false" outlineLevel="0" collapsed="false">
      <c r="A47" s="7" t="s">
        <v>1936</v>
      </c>
      <c r="B47" s="7" t="s">
        <v>448</v>
      </c>
      <c r="C47" s="8" t="s">
        <v>15</v>
      </c>
      <c r="D47" s="7" t="s">
        <v>1937</v>
      </c>
      <c r="E47" s="7" t="s">
        <v>1938</v>
      </c>
      <c r="F47" s="7" t="s">
        <v>18</v>
      </c>
      <c r="G47" s="10" t="n">
        <v>2026</v>
      </c>
      <c r="H47" s="7" t="s">
        <v>1939</v>
      </c>
      <c r="I47" s="7" t="s">
        <v>1940</v>
      </c>
      <c r="J47" s="8" t="s">
        <v>1875</v>
      </c>
      <c r="K47" s="6" t="s">
        <v>22</v>
      </c>
      <c r="L47" s="7"/>
      <c r="M47" s="8" t="s">
        <v>1771</v>
      </c>
    </row>
    <row r="48" customFormat="false" ht="15" hidden="false" customHeight="false" outlineLevel="0" collapsed="false">
      <c r="A48" s="3" t="s">
        <v>1941</v>
      </c>
      <c r="B48" s="3" t="s">
        <v>448</v>
      </c>
      <c r="C48" s="4" t="s">
        <v>25</v>
      </c>
      <c r="D48" s="3" t="s">
        <v>1942</v>
      </c>
      <c r="E48" s="3" t="s">
        <v>1943</v>
      </c>
      <c r="F48" s="3" t="s">
        <v>28</v>
      </c>
      <c r="G48" s="11" t="n">
        <v>2026</v>
      </c>
      <c r="H48" s="3" t="s">
        <v>1944</v>
      </c>
      <c r="I48" s="3" t="s">
        <v>1940</v>
      </c>
      <c r="J48" s="4" t="s">
        <v>1875</v>
      </c>
      <c r="K48" s="6" t="s">
        <v>22</v>
      </c>
      <c r="L48" s="3"/>
      <c r="M48" s="4" t="s">
        <v>1771</v>
      </c>
    </row>
    <row r="49" customFormat="false" ht="15" hidden="false" customHeight="false" outlineLevel="0" collapsed="false">
      <c r="A49" s="7" t="s">
        <v>1945</v>
      </c>
      <c r="B49" s="7" t="s">
        <v>448</v>
      </c>
      <c r="C49" s="8" t="s">
        <v>31</v>
      </c>
      <c r="D49" s="7" t="s">
        <v>1946</v>
      </c>
      <c r="E49" s="7" t="s">
        <v>1947</v>
      </c>
      <c r="F49" s="7" t="s">
        <v>34</v>
      </c>
      <c r="G49" s="10" t="n">
        <v>2026</v>
      </c>
      <c r="H49" s="7" t="s">
        <v>1948</v>
      </c>
      <c r="I49" s="7" t="s">
        <v>1940</v>
      </c>
      <c r="J49" s="8" t="s">
        <v>1875</v>
      </c>
      <c r="K49" s="6" t="s">
        <v>22</v>
      </c>
      <c r="L49" s="7"/>
      <c r="M49" s="8" t="s">
        <v>1771</v>
      </c>
    </row>
    <row r="50" customFormat="false" ht="15" hidden="false" customHeight="false" outlineLevel="0" collapsed="false">
      <c r="A50" s="3" t="s">
        <v>1949</v>
      </c>
      <c r="B50" s="3" t="s">
        <v>1060</v>
      </c>
      <c r="C50" s="4" t="s">
        <v>15</v>
      </c>
      <c r="D50" s="3" t="s">
        <v>1950</v>
      </c>
      <c r="E50" s="3" t="s">
        <v>1951</v>
      </c>
      <c r="F50" s="3" t="s">
        <v>1063</v>
      </c>
      <c r="G50" s="5"/>
      <c r="H50" s="3" t="s">
        <v>1952</v>
      </c>
      <c r="I50" s="3" t="s">
        <v>1953</v>
      </c>
      <c r="J50" s="4" t="s">
        <v>1875</v>
      </c>
      <c r="K50" s="6" t="s">
        <v>22</v>
      </c>
      <c r="L50" s="3"/>
      <c r="M50" s="4" t="s">
        <v>1771</v>
      </c>
    </row>
    <row r="51" customFormat="false" ht="15" hidden="false" customHeight="false" outlineLevel="0" collapsed="false">
      <c r="A51" s="7" t="s">
        <v>1954</v>
      </c>
      <c r="B51" s="7" t="s">
        <v>1060</v>
      </c>
      <c r="C51" s="8" t="s">
        <v>25</v>
      </c>
      <c r="D51" s="7" t="s">
        <v>1955</v>
      </c>
      <c r="E51" s="7" t="s">
        <v>1956</v>
      </c>
      <c r="F51" s="7" t="s">
        <v>1068</v>
      </c>
      <c r="G51" s="9"/>
      <c r="H51" s="7" t="s">
        <v>1957</v>
      </c>
      <c r="I51" s="7" t="s">
        <v>1953</v>
      </c>
      <c r="J51" s="8" t="s">
        <v>1875</v>
      </c>
      <c r="K51" s="6" t="s">
        <v>22</v>
      </c>
      <c r="L51" s="7"/>
      <c r="M51" s="8" t="s">
        <v>1771</v>
      </c>
    </row>
    <row r="52" customFormat="false" ht="15" hidden="false" customHeight="false" outlineLevel="0" collapsed="false">
      <c r="A52" s="3" t="s">
        <v>1958</v>
      </c>
      <c r="B52" s="3" t="s">
        <v>1060</v>
      </c>
      <c r="C52" s="4" t="s">
        <v>31</v>
      </c>
      <c r="D52" s="3" t="s">
        <v>1959</v>
      </c>
      <c r="E52" s="3" t="s">
        <v>1960</v>
      </c>
      <c r="F52" s="3" t="s">
        <v>1072</v>
      </c>
      <c r="G52" s="5"/>
      <c r="H52" s="3" t="s">
        <v>1961</v>
      </c>
      <c r="I52" s="3" t="s">
        <v>1953</v>
      </c>
      <c r="J52" s="4" t="s">
        <v>1875</v>
      </c>
      <c r="K52" s="6" t="s">
        <v>22</v>
      </c>
      <c r="L52" s="3"/>
      <c r="M52" s="4" t="s">
        <v>1771</v>
      </c>
    </row>
    <row r="53" customFormat="false" ht="15" hidden="false" customHeight="false" outlineLevel="0" collapsed="false">
      <c r="A53" s="7" t="s">
        <v>1962</v>
      </c>
      <c r="B53" s="7" t="s">
        <v>620</v>
      </c>
      <c r="C53" s="8" t="s">
        <v>15</v>
      </c>
      <c r="D53" s="7" t="s">
        <v>1963</v>
      </c>
      <c r="E53" s="7" t="s">
        <v>1964</v>
      </c>
      <c r="F53" s="7" t="s">
        <v>681</v>
      </c>
      <c r="G53" s="10" t="n">
        <v>2026</v>
      </c>
      <c r="H53" s="7" t="s">
        <v>1965</v>
      </c>
      <c r="I53" s="7" t="s">
        <v>1966</v>
      </c>
      <c r="J53" s="8" t="s">
        <v>1875</v>
      </c>
      <c r="K53" s="6" t="s">
        <v>22</v>
      </c>
      <c r="L53" s="7"/>
      <c r="M53" s="8" t="s">
        <v>1771</v>
      </c>
    </row>
    <row r="54" customFormat="false" ht="15" hidden="false" customHeight="false" outlineLevel="0" collapsed="false">
      <c r="A54" s="3" t="s">
        <v>1967</v>
      </c>
      <c r="B54" s="3" t="s">
        <v>620</v>
      </c>
      <c r="C54" s="4" t="s">
        <v>25</v>
      </c>
      <c r="D54" s="3" t="s">
        <v>1968</v>
      </c>
      <c r="E54" s="3" t="s">
        <v>1969</v>
      </c>
      <c r="F54" s="3" t="s">
        <v>687</v>
      </c>
      <c r="G54" s="11" t="n">
        <v>2026</v>
      </c>
      <c r="H54" s="3" t="s">
        <v>1970</v>
      </c>
      <c r="I54" s="3" t="s">
        <v>1966</v>
      </c>
      <c r="J54" s="4" t="s">
        <v>1875</v>
      </c>
      <c r="K54" s="6" t="s">
        <v>22</v>
      </c>
      <c r="L54" s="3"/>
      <c r="M54" s="4" t="s">
        <v>1771</v>
      </c>
    </row>
    <row r="55" customFormat="false" ht="15" hidden="false" customHeight="false" outlineLevel="0" collapsed="false">
      <c r="A55" s="7" t="s">
        <v>1971</v>
      </c>
      <c r="B55" s="7" t="s">
        <v>620</v>
      </c>
      <c r="C55" s="8" t="s">
        <v>31</v>
      </c>
      <c r="D55" s="7" t="s">
        <v>1972</v>
      </c>
      <c r="E55" s="7" t="s">
        <v>1973</v>
      </c>
      <c r="F55" s="7" t="s">
        <v>692</v>
      </c>
      <c r="G55" s="10" t="n">
        <v>2026</v>
      </c>
      <c r="H55" s="7" t="s">
        <v>1974</v>
      </c>
      <c r="I55" s="7" t="s">
        <v>1966</v>
      </c>
      <c r="J55" s="8" t="s">
        <v>1875</v>
      </c>
      <c r="K55" s="6" t="s">
        <v>22</v>
      </c>
      <c r="L55" s="7"/>
      <c r="M55" s="8" t="s">
        <v>1771</v>
      </c>
    </row>
    <row r="56" customFormat="false" ht="15" hidden="false" customHeight="false" outlineLevel="0" collapsed="false">
      <c r="A56" s="3" t="s">
        <v>1975</v>
      </c>
      <c r="B56" s="3" t="s">
        <v>864</v>
      </c>
      <c r="C56" s="4" t="s">
        <v>15</v>
      </c>
      <c r="D56" s="3" t="s">
        <v>1976</v>
      </c>
      <c r="E56" s="3" t="s">
        <v>1977</v>
      </c>
      <c r="F56" s="3" t="s">
        <v>18</v>
      </c>
      <c r="G56" s="5"/>
      <c r="H56" s="3" t="s">
        <v>1978</v>
      </c>
      <c r="I56" s="3" t="s">
        <v>1979</v>
      </c>
      <c r="J56" s="4" t="s">
        <v>1875</v>
      </c>
      <c r="K56" s="6" t="s">
        <v>22</v>
      </c>
      <c r="L56" s="3"/>
      <c r="M56" s="4" t="s">
        <v>1771</v>
      </c>
    </row>
    <row r="57" customFormat="false" ht="15" hidden="false" customHeight="false" outlineLevel="0" collapsed="false">
      <c r="A57" s="7" t="s">
        <v>1980</v>
      </c>
      <c r="B57" s="7" t="s">
        <v>864</v>
      </c>
      <c r="C57" s="8" t="s">
        <v>25</v>
      </c>
      <c r="D57" s="7" t="s">
        <v>1981</v>
      </c>
      <c r="E57" s="7" t="s">
        <v>1982</v>
      </c>
      <c r="F57" s="7" t="s">
        <v>28</v>
      </c>
      <c r="G57" s="9"/>
      <c r="H57" s="7" t="s">
        <v>1983</v>
      </c>
      <c r="I57" s="7" t="s">
        <v>1979</v>
      </c>
      <c r="J57" s="8" t="s">
        <v>1875</v>
      </c>
      <c r="K57" s="6" t="s">
        <v>22</v>
      </c>
      <c r="L57" s="7"/>
      <c r="M57" s="8" t="s">
        <v>1771</v>
      </c>
    </row>
    <row r="58" customFormat="false" ht="15" hidden="false" customHeight="false" outlineLevel="0" collapsed="false">
      <c r="A58" s="3" t="s">
        <v>1984</v>
      </c>
      <c r="B58" s="3" t="s">
        <v>864</v>
      </c>
      <c r="C58" s="4" t="s">
        <v>31</v>
      </c>
      <c r="D58" s="3" t="s">
        <v>1985</v>
      </c>
      <c r="E58" s="3" t="s">
        <v>1986</v>
      </c>
      <c r="F58" s="3" t="s">
        <v>34</v>
      </c>
      <c r="G58" s="5"/>
      <c r="H58" s="3" t="s">
        <v>1987</v>
      </c>
      <c r="I58" s="3" t="s">
        <v>1979</v>
      </c>
      <c r="J58" s="4" t="s">
        <v>1875</v>
      </c>
      <c r="K58" s="6" t="s">
        <v>22</v>
      </c>
      <c r="L58" s="3"/>
      <c r="M58" s="4" t="s">
        <v>1771</v>
      </c>
    </row>
    <row r="59" customFormat="false" ht="15" hidden="false" customHeight="false" outlineLevel="0" collapsed="false">
      <c r="A59" s="7" t="s">
        <v>1988</v>
      </c>
      <c r="B59" s="7" t="s">
        <v>448</v>
      </c>
      <c r="C59" s="8" t="s">
        <v>15</v>
      </c>
      <c r="D59" s="7" t="s">
        <v>1989</v>
      </c>
      <c r="E59" s="7" t="s">
        <v>1990</v>
      </c>
      <c r="F59" s="7" t="s">
        <v>1669</v>
      </c>
      <c r="G59" s="9"/>
      <c r="H59" s="7" t="s">
        <v>1991</v>
      </c>
      <c r="I59" s="7" t="s">
        <v>1992</v>
      </c>
      <c r="J59" s="8" t="s">
        <v>1875</v>
      </c>
      <c r="K59" s="6" t="s">
        <v>22</v>
      </c>
      <c r="L59" s="7"/>
      <c r="M59" s="8" t="s">
        <v>1771</v>
      </c>
    </row>
    <row r="60" customFormat="false" ht="15" hidden="false" customHeight="false" outlineLevel="0" collapsed="false">
      <c r="A60" s="3" t="s">
        <v>1993</v>
      </c>
      <c r="B60" s="3" t="s">
        <v>448</v>
      </c>
      <c r="C60" s="4" t="s">
        <v>25</v>
      </c>
      <c r="D60" s="3" t="s">
        <v>1994</v>
      </c>
      <c r="E60" s="3" t="s">
        <v>1995</v>
      </c>
      <c r="F60" s="3" t="s">
        <v>1675</v>
      </c>
      <c r="G60" s="5"/>
      <c r="H60" s="3" t="s">
        <v>1996</v>
      </c>
      <c r="I60" s="3" t="s">
        <v>1992</v>
      </c>
      <c r="J60" s="4" t="s">
        <v>1875</v>
      </c>
      <c r="K60" s="6" t="s">
        <v>22</v>
      </c>
      <c r="L60" s="3"/>
      <c r="M60" s="4" t="s">
        <v>1771</v>
      </c>
    </row>
    <row r="61" customFormat="false" ht="15" hidden="false" customHeight="false" outlineLevel="0" collapsed="false">
      <c r="A61" s="7" t="s">
        <v>1997</v>
      </c>
      <c r="B61" s="7" t="s">
        <v>448</v>
      </c>
      <c r="C61" s="8" t="s">
        <v>31</v>
      </c>
      <c r="D61" s="7" t="s">
        <v>1998</v>
      </c>
      <c r="E61" s="7" t="s">
        <v>1999</v>
      </c>
      <c r="F61" s="7" t="s">
        <v>1680</v>
      </c>
      <c r="G61" s="9"/>
      <c r="H61" s="7" t="s">
        <v>2000</v>
      </c>
      <c r="I61" s="7" t="s">
        <v>1992</v>
      </c>
      <c r="J61" s="8" t="s">
        <v>1875</v>
      </c>
      <c r="K61" s="6" t="s">
        <v>22</v>
      </c>
      <c r="L61" s="7"/>
      <c r="M61" s="8" t="s">
        <v>1771</v>
      </c>
    </row>
    <row r="62" customFormat="false" ht="15" hidden="false" customHeight="false" outlineLevel="0" collapsed="false">
      <c r="A62" s="3" t="s">
        <v>2001</v>
      </c>
      <c r="B62" s="3" t="s">
        <v>448</v>
      </c>
      <c r="C62" s="4" t="s">
        <v>15</v>
      </c>
      <c r="D62" s="3" t="s">
        <v>2002</v>
      </c>
      <c r="E62" s="3" t="s">
        <v>2003</v>
      </c>
      <c r="F62" s="3" t="s">
        <v>18</v>
      </c>
      <c r="G62" s="11" t="n">
        <v>2026</v>
      </c>
      <c r="H62" s="3" t="s">
        <v>2004</v>
      </c>
      <c r="I62" s="3" t="s">
        <v>2005</v>
      </c>
      <c r="J62" s="4" t="s">
        <v>1875</v>
      </c>
      <c r="K62" s="6" t="s">
        <v>22</v>
      </c>
      <c r="L62" s="3"/>
      <c r="M62" s="4" t="s">
        <v>1771</v>
      </c>
    </row>
    <row r="63" customFormat="false" ht="15" hidden="false" customHeight="false" outlineLevel="0" collapsed="false">
      <c r="A63" s="7" t="s">
        <v>2006</v>
      </c>
      <c r="B63" s="7" t="s">
        <v>448</v>
      </c>
      <c r="C63" s="8" t="s">
        <v>25</v>
      </c>
      <c r="D63" s="7" t="s">
        <v>2007</v>
      </c>
      <c r="E63" s="7" t="s">
        <v>2008</v>
      </c>
      <c r="F63" s="7" t="s">
        <v>28</v>
      </c>
      <c r="G63" s="10" t="n">
        <v>2026</v>
      </c>
      <c r="H63" s="7" t="s">
        <v>2009</v>
      </c>
      <c r="I63" s="7" t="s">
        <v>2005</v>
      </c>
      <c r="J63" s="8" t="s">
        <v>1875</v>
      </c>
      <c r="K63" s="6" t="s">
        <v>22</v>
      </c>
      <c r="L63" s="7"/>
      <c r="M63" s="8" t="s">
        <v>1771</v>
      </c>
    </row>
    <row r="64" customFormat="false" ht="15" hidden="false" customHeight="false" outlineLevel="0" collapsed="false">
      <c r="A64" s="3" t="s">
        <v>2010</v>
      </c>
      <c r="B64" s="3" t="s">
        <v>448</v>
      </c>
      <c r="C64" s="4" t="s">
        <v>31</v>
      </c>
      <c r="D64" s="3" t="s">
        <v>2011</v>
      </c>
      <c r="E64" s="3" t="s">
        <v>2012</v>
      </c>
      <c r="F64" s="3" t="s">
        <v>34</v>
      </c>
      <c r="G64" s="11" t="n">
        <v>2026</v>
      </c>
      <c r="H64" s="3" t="s">
        <v>2013</v>
      </c>
      <c r="I64" s="3" t="s">
        <v>2005</v>
      </c>
      <c r="J64" s="4" t="s">
        <v>1875</v>
      </c>
      <c r="K64" s="6" t="s">
        <v>22</v>
      </c>
      <c r="L64" s="3"/>
      <c r="M64" s="4" t="s">
        <v>1771</v>
      </c>
    </row>
    <row r="65" customFormat="false" ht="15" hidden="false" customHeight="false" outlineLevel="0" collapsed="false">
      <c r="A65" s="7" t="s">
        <v>2014</v>
      </c>
      <c r="B65" s="7" t="s">
        <v>448</v>
      </c>
      <c r="C65" s="8" t="s">
        <v>15</v>
      </c>
      <c r="D65" s="7" t="s">
        <v>2015</v>
      </c>
      <c r="E65" s="7" t="s">
        <v>2016</v>
      </c>
      <c r="F65" s="7" t="s">
        <v>18</v>
      </c>
      <c r="G65" s="10" t="n">
        <v>2026</v>
      </c>
      <c r="H65" s="7" t="s">
        <v>2017</v>
      </c>
      <c r="I65" s="7" t="s">
        <v>2018</v>
      </c>
      <c r="J65" s="8" t="s">
        <v>1875</v>
      </c>
      <c r="K65" s="6" t="s">
        <v>22</v>
      </c>
      <c r="L65" s="7"/>
      <c r="M65" s="8" t="s">
        <v>1771</v>
      </c>
    </row>
    <row r="66" customFormat="false" ht="15" hidden="false" customHeight="false" outlineLevel="0" collapsed="false">
      <c r="A66" s="3" t="s">
        <v>2019</v>
      </c>
      <c r="B66" s="3" t="s">
        <v>448</v>
      </c>
      <c r="C66" s="4" t="s">
        <v>25</v>
      </c>
      <c r="D66" s="3" t="s">
        <v>2020</v>
      </c>
      <c r="E66" s="3" t="s">
        <v>2021</v>
      </c>
      <c r="F66" s="3" t="s">
        <v>28</v>
      </c>
      <c r="G66" s="11" t="n">
        <v>2026</v>
      </c>
      <c r="H66" s="3" t="s">
        <v>2022</v>
      </c>
      <c r="I66" s="3" t="s">
        <v>2018</v>
      </c>
      <c r="J66" s="4" t="s">
        <v>1875</v>
      </c>
      <c r="K66" s="6" t="s">
        <v>22</v>
      </c>
      <c r="L66" s="3"/>
      <c r="M66" s="4" t="s">
        <v>1771</v>
      </c>
    </row>
    <row r="67" customFormat="false" ht="15" hidden="false" customHeight="false" outlineLevel="0" collapsed="false">
      <c r="A67" s="7" t="s">
        <v>2023</v>
      </c>
      <c r="B67" s="7" t="s">
        <v>448</v>
      </c>
      <c r="C67" s="8" t="s">
        <v>31</v>
      </c>
      <c r="D67" s="7" t="s">
        <v>2024</v>
      </c>
      <c r="E67" s="7" t="s">
        <v>2025</v>
      </c>
      <c r="F67" s="7" t="s">
        <v>34</v>
      </c>
      <c r="G67" s="10" t="n">
        <v>2026</v>
      </c>
      <c r="H67" s="7" t="s">
        <v>2026</v>
      </c>
      <c r="I67" s="7" t="s">
        <v>2018</v>
      </c>
      <c r="J67" s="8" t="s">
        <v>1875</v>
      </c>
      <c r="K67" s="6" t="s">
        <v>22</v>
      </c>
      <c r="L67" s="7"/>
      <c r="M67" s="8" t="s">
        <v>1771</v>
      </c>
    </row>
    <row r="68" customFormat="false" ht="15" hidden="false" customHeight="false" outlineLevel="0" collapsed="false">
      <c r="A68" s="3" t="s">
        <v>2027</v>
      </c>
      <c r="B68" s="3" t="s">
        <v>695</v>
      </c>
      <c r="C68" s="4" t="s">
        <v>15</v>
      </c>
      <c r="D68" s="3" t="s">
        <v>2028</v>
      </c>
      <c r="E68" s="3" t="s">
        <v>2029</v>
      </c>
      <c r="F68" s="3" t="s">
        <v>1624</v>
      </c>
      <c r="G68" s="5"/>
      <c r="H68" s="3" t="s">
        <v>2030</v>
      </c>
      <c r="I68" s="3" t="s">
        <v>2031</v>
      </c>
      <c r="J68" s="4" t="s">
        <v>1875</v>
      </c>
      <c r="K68" s="6" t="s">
        <v>22</v>
      </c>
      <c r="L68" s="3" t="s">
        <v>18</v>
      </c>
      <c r="M68" s="4" t="s">
        <v>1771</v>
      </c>
    </row>
    <row r="69" customFormat="false" ht="15" hidden="false" customHeight="false" outlineLevel="0" collapsed="false">
      <c r="A69" s="7" t="s">
        <v>2032</v>
      </c>
      <c r="B69" s="7" t="s">
        <v>695</v>
      </c>
      <c r="C69" s="8" t="s">
        <v>25</v>
      </c>
      <c r="D69" s="7" t="s">
        <v>2033</v>
      </c>
      <c r="E69" s="7" t="s">
        <v>2034</v>
      </c>
      <c r="F69" s="7" t="s">
        <v>1630</v>
      </c>
      <c r="G69" s="9"/>
      <c r="H69" s="7" t="s">
        <v>2035</v>
      </c>
      <c r="I69" s="7" t="s">
        <v>2031</v>
      </c>
      <c r="J69" s="8" t="s">
        <v>1875</v>
      </c>
      <c r="K69" s="6" t="s">
        <v>22</v>
      </c>
      <c r="L69" s="7" t="s">
        <v>28</v>
      </c>
      <c r="M69" s="8" t="s">
        <v>1771</v>
      </c>
    </row>
    <row r="70" customFormat="false" ht="15" hidden="false" customHeight="false" outlineLevel="0" collapsed="false">
      <c r="A70" s="3" t="s">
        <v>2036</v>
      </c>
      <c r="B70" s="3" t="s">
        <v>695</v>
      </c>
      <c r="C70" s="4" t="s">
        <v>31</v>
      </c>
      <c r="D70" s="3" t="s">
        <v>2037</v>
      </c>
      <c r="E70" s="3" t="s">
        <v>2038</v>
      </c>
      <c r="F70" s="3" t="s">
        <v>1635</v>
      </c>
      <c r="G70" s="5"/>
      <c r="H70" s="3" t="s">
        <v>2039</v>
      </c>
      <c r="I70" s="3" t="s">
        <v>2031</v>
      </c>
      <c r="J70" s="4" t="s">
        <v>1875</v>
      </c>
      <c r="K70" s="6" t="s">
        <v>22</v>
      </c>
      <c r="L70" s="3" t="s">
        <v>34</v>
      </c>
      <c r="M70" s="4" t="s">
        <v>1771</v>
      </c>
    </row>
    <row r="71" customFormat="false" ht="15" hidden="false" customHeight="false" outlineLevel="0" collapsed="false">
      <c r="A71" s="7" t="s">
        <v>2040</v>
      </c>
      <c r="B71" s="7" t="s">
        <v>695</v>
      </c>
      <c r="C71" s="8" t="s">
        <v>15</v>
      </c>
      <c r="D71" s="7" t="s">
        <v>2041</v>
      </c>
      <c r="E71" s="7" t="s">
        <v>2042</v>
      </c>
      <c r="F71" s="7" t="s">
        <v>1624</v>
      </c>
      <c r="G71" s="10" t="n">
        <v>2026</v>
      </c>
      <c r="H71" s="7" t="s">
        <v>2043</v>
      </c>
      <c r="I71" s="7" t="s">
        <v>2044</v>
      </c>
      <c r="J71" s="8" t="s">
        <v>1875</v>
      </c>
      <c r="K71" s="6" t="s">
        <v>22</v>
      </c>
      <c r="L71" s="7"/>
      <c r="M71" s="8" t="s">
        <v>1771</v>
      </c>
    </row>
    <row r="72" customFormat="false" ht="15" hidden="false" customHeight="false" outlineLevel="0" collapsed="false">
      <c r="A72" s="3" t="s">
        <v>2045</v>
      </c>
      <c r="B72" s="3" t="s">
        <v>695</v>
      </c>
      <c r="C72" s="4" t="s">
        <v>25</v>
      </c>
      <c r="D72" s="3" t="s">
        <v>2046</v>
      </c>
      <c r="E72" s="3" t="s">
        <v>2047</v>
      </c>
      <c r="F72" s="3" t="s">
        <v>1630</v>
      </c>
      <c r="G72" s="11" t="n">
        <v>2026</v>
      </c>
      <c r="H72" s="3" t="s">
        <v>2048</v>
      </c>
      <c r="I72" s="3" t="s">
        <v>2044</v>
      </c>
      <c r="J72" s="4" t="s">
        <v>1875</v>
      </c>
      <c r="K72" s="6" t="s">
        <v>22</v>
      </c>
      <c r="L72" s="3"/>
      <c r="M72" s="4" t="s">
        <v>1771</v>
      </c>
    </row>
    <row r="73" customFormat="false" ht="15" hidden="false" customHeight="false" outlineLevel="0" collapsed="false">
      <c r="A73" s="7" t="s">
        <v>2049</v>
      </c>
      <c r="B73" s="7" t="s">
        <v>695</v>
      </c>
      <c r="C73" s="8" t="s">
        <v>31</v>
      </c>
      <c r="D73" s="7" t="s">
        <v>2050</v>
      </c>
      <c r="E73" s="7" t="s">
        <v>2051</v>
      </c>
      <c r="F73" s="7" t="s">
        <v>1635</v>
      </c>
      <c r="G73" s="10" t="n">
        <v>2026</v>
      </c>
      <c r="H73" s="7" t="s">
        <v>2052</v>
      </c>
      <c r="I73" s="7" t="s">
        <v>2044</v>
      </c>
      <c r="J73" s="8" t="s">
        <v>1875</v>
      </c>
      <c r="K73" s="6" t="s">
        <v>22</v>
      </c>
      <c r="L73" s="7"/>
      <c r="M73" s="8" t="s">
        <v>1771</v>
      </c>
    </row>
    <row r="74" customFormat="false" ht="15" hidden="false" customHeight="false" outlineLevel="0" collapsed="false">
      <c r="A74" s="3" t="s">
        <v>2053</v>
      </c>
      <c r="B74" s="3" t="s">
        <v>448</v>
      </c>
      <c r="C74" s="4" t="s">
        <v>15</v>
      </c>
      <c r="D74" s="3" t="s">
        <v>2054</v>
      </c>
      <c r="E74" s="3" t="s">
        <v>2055</v>
      </c>
      <c r="F74" s="3" t="s">
        <v>18</v>
      </c>
      <c r="G74" s="11" t="n">
        <v>2026</v>
      </c>
      <c r="H74" s="3" t="s">
        <v>2056</v>
      </c>
      <c r="I74" s="3" t="s">
        <v>2057</v>
      </c>
      <c r="J74" s="4" t="s">
        <v>1875</v>
      </c>
      <c r="K74" s="6" t="s">
        <v>22</v>
      </c>
      <c r="L74" s="3"/>
      <c r="M74" s="4" t="s">
        <v>1771</v>
      </c>
    </row>
    <row r="75" customFormat="false" ht="15" hidden="false" customHeight="false" outlineLevel="0" collapsed="false">
      <c r="A75" s="7" t="s">
        <v>2058</v>
      </c>
      <c r="B75" s="7" t="s">
        <v>448</v>
      </c>
      <c r="C75" s="8" t="s">
        <v>25</v>
      </c>
      <c r="D75" s="7" t="s">
        <v>2059</v>
      </c>
      <c r="E75" s="7" t="s">
        <v>2060</v>
      </c>
      <c r="F75" s="7" t="s">
        <v>28</v>
      </c>
      <c r="G75" s="10" t="n">
        <v>2026</v>
      </c>
      <c r="H75" s="7" t="s">
        <v>2061</v>
      </c>
      <c r="I75" s="7" t="s">
        <v>2057</v>
      </c>
      <c r="J75" s="8" t="s">
        <v>1875</v>
      </c>
      <c r="K75" s="6" t="s">
        <v>22</v>
      </c>
      <c r="L75" s="7"/>
      <c r="M75" s="8" t="s">
        <v>1771</v>
      </c>
    </row>
    <row r="76" customFormat="false" ht="15" hidden="false" customHeight="false" outlineLevel="0" collapsed="false">
      <c r="A76" s="3" t="s">
        <v>2062</v>
      </c>
      <c r="B76" s="3" t="s">
        <v>448</v>
      </c>
      <c r="C76" s="4" t="s">
        <v>31</v>
      </c>
      <c r="D76" s="3" t="s">
        <v>2063</v>
      </c>
      <c r="E76" s="3" t="s">
        <v>2064</v>
      </c>
      <c r="F76" s="3" t="s">
        <v>34</v>
      </c>
      <c r="G76" s="11" t="n">
        <v>2026</v>
      </c>
      <c r="H76" s="3" t="s">
        <v>2065</v>
      </c>
      <c r="I76" s="3" t="s">
        <v>2057</v>
      </c>
      <c r="J76" s="4" t="s">
        <v>1875</v>
      </c>
      <c r="K76" s="6" t="s">
        <v>22</v>
      </c>
      <c r="L76" s="3"/>
      <c r="M76" s="4" t="s">
        <v>1771</v>
      </c>
    </row>
    <row r="77" customFormat="false" ht="15" hidden="false" customHeight="false" outlineLevel="0" collapsed="false">
      <c r="A77" s="7" t="s">
        <v>2066</v>
      </c>
      <c r="B77" s="7" t="s">
        <v>448</v>
      </c>
      <c r="C77" s="8" t="s">
        <v>15</v>
      </c>
      <c r="D77" s="7" t="s">
        <v>2067</v>
      </c>
      <c r="E77" s="7" t="s">
        <v>2068</v>
      </c>
      <c r="F77" s="7" t="s">
        <v>18</v>
      </c>
      <c r="G77" s="10" t="n">
        <v>2026</v>
      </c>
      <c r="H77" s="7" t="s">
        <v>2069</v>
      </c>
      <c r="I77" s="7" t="s">
        <v>2070</v>
      </c>
      <c r="J77" s="8" t="s">
        <v>1875</v>
      </c>
      <c r="K77" s="6" t="s">
        <v>22</v>
      </c>
      <c r="L77" s="7"/>
      <c r="M77" s="8" t="s">
        <v>1771</v>
      </c>
    </row>
    <row r="78" customFormat="false" ht="15" hidden="false" customHeight="false" outlineLevel="0" collapsed="false">
      <c r="A78" s="3" t="s">
        <v>2071</v>
      </c>
      <c r="B78" s="3" t="s">
        <v>448</v>
      </c>
      <c r="C78" s="4" t="s">
        <v>25</v>
      </c>
      <c r="D78" s="3" t="s">
        <v>2072</v>
      </c>
      <c r="E78" s="3" t="s">
        <v>2073</v>
      </c>
      <c r="F78" s="3" t="s">
        <v>28</v>
      </c>
      <c r="G78" s="11" t="n">
        <v>2026</v>
      </c>
      <c r="H78" s="3" t="s">
        <v>2074</v>
      </c>
      <c r="I78" s="3" t="s">
        <v>2070</v>
      </c>
      <c r="J78" s="4" t="s">
        <v>1875</v>
      </c>
      <c r="K78" s="6" t="s">
        <v>22</v>
      </c>
      <c r="L78" s="3"/>
      <c r="M78" s="4" t="s">
        <v>1771</v>
      </c>
    </row>
    <row r="79" customFormat="false" ht="15" hidden="false" customHeight="false" outlineLevel="0" collapsed="false">
      <c r="A79" s="7" t="s">
        <v>2075</v>
      </c>
      <c r="B79" s="7" t="s">
        <v>448</v>
      </c>
      <c r="C79" s="8" t="s">
        <v>31</v>
      </c>
      <c r="D79" s="7" t="s">
        <v>2076</v>
      </c>
      <c r="E79" s="7" t="s">
        <v>2077</v>
      </c>
      <c r="F79" s="7" t="s">
        <v>34</v>
      </c>
      <c r="G79" s="10" t="n">
        <v>2026</v>
      </c>
      <c r="H79" s="7" t="s">
        <v>2078</v>
      </c>
      <c r="I79" s="7" t="s">
        <v>2070</v>
      </c>
      <c r="J79" s="8" t="s">
        <v>1875</v>
      </c>
      <c r="K79" s="6" t="s">
        <v>22</v>
      </c>
      <c r="L79" s="7"/>
      <c r="M79" s="8" t="s">
        <v>1771</v>
      </c>
    </row>
    <row r="80" customFormat="false" ht="15" hidden="false" customHeight="false" outlineLevel="0" collapsed="false">
      <c r="A80" s="3" t="s">
        <v>2079</v>
      </c>
      <c r="B80" s="3" t="s">
        <v>556</v>
      </c>
      <c r="C80" s="4" t="s">
        <v>15</v>
      </c>
      <c r="D80" s="3" t="s">
        <v>2080</v>
      </c>
      <c r="E80" s="3" t="s">
        <v>2081</v>
      </c>
      <c r="F80" s="3" t="s">
        <v>18</v>
      </c>
      <c r="G80" s="11" t="n">
        <v>2026</v>
      </c>
      <c r="H80" s="3" t="s">
        <v>2082</v>
      </c>
      <c r="I80" s="3" t="s">
        <v>2083</v>
      </c>
      <c r="J80" s="4" t="s">
        <v>1875</v>
      </c>
      <c r="K80" s="6" t="s">
        <v>22</v>
      </c>
      <c r="L80" s="3"/>
      <c r="M80" s="4" t="s">
        <v>1771</v>
      </c>
    </row>
    <row r="81" customFormat="false" ht="15" hidden="false" customHeight="false" outlineLevel="0" collapsed="false">
      <c r="A81" s="7" t="s">
        <v>2084</v>
      </c>
      <c r="B81" s="7" t="s">
        <v>556</v>
      </c>
      <c r="C81" s="8" t="s">
        <v>25</v>
      </c>
      <c r="D81" s="7" t="s">
        <v>2085</v>
      </c>
      <c r="E81" s="7" t="s">
        <v>2086</v>
      </c>
      <c r="F81" s="7" t="s">
        <v>28</v>
      </c>
      <c r="G81" s="10" t="n">
        <v>2026</v>
      </c>
      <c r="H81" s="7" t="s">
        <v>2087</v>
      </c>
      <c r="I81" s="7" t="s">
        <v>2083</v>
      </c>
      <c r="J81" s="8" t="s">
        <v>1875</v>
      </c>
      <c r="K81" s="6" t="s">
        <v>22</v>
      </c>
      <c r="L81" s="7"/>
      <c r="M81" s="8" t="s">
        <v>1771</v>
      </c>
    </row>
    <row r="82" customFormat="false" ht="15" hidden="false" customHeight="false" outlineLevel="0" collapsed="false">
      <c r="A82" s="3" t="s">
        <v>2088</v>
      </c>
      <c r="B82" s="3" t="s">
        <v>556</v>
      </c>
      <c r="C82" s="4" t="s">
        <v>31</v>
      </c>
      <c r="D82" s="3" t="s">
        <v>2089</v>
      </c>
      <c r="E82" s="3" t="s">
        <v>2090</v>
      </c>
      <c r="F82" s="3" t="s">
        <v>34</v>
      </c>
      <c r="G82" s="11" t="n">
        <v>2026</v>
      </c>
      <c r="H82" s="3" t="s">
        <v>2091</v>
      </c>
      <c r="I82" s="3" t="s">
        <v>2083</v>
      </c>
      <c r="J82" s="4" t="s">
        <v>1875</v>
      </c>
      <c r="K82" s="6" t="s">
        <v>22</v>
      </c>
      <c r="L82" s="3"/>
      <c r="M82" s="4" t="s">
        <v>1771</v>
      </c>
    </row>
    <row r="83" customFormat="false" ht="15" hidden="false" customHeight="false" outlineLevel="0" collapsed="false">
      <c r="A83" s="7" t="s">
        <v>2092</v>
      </c>
      <c r="B83" s="7" t="s">
        <v>448</v>
      </c>
      <c r="C83" s="8" t="s">
        <v>15</v>
      </c>
      <c r="D83" s="7" t="s">
        <v>2093</v>
      </c>
      <c r="E83" s="7" t="s">
        <v>2094</v>
      </c>
      <c r="F83" s="7" t="s">
        <v>18</v>
      </c>
      <c r="G83" s="10" t="n">
        <v>2026</v>
      </c>
      <c r="H83" s="7" t="s">
        <v>2095</v>
      </c>
      <c r="I83" s="7" t="s">
        <v>2096</v>
      </c>
      <c r="J83" s="8" t="s">
        <v>1875</v>
      </c>
      <c r="K83" s="6" t="s">
        <v>22</v>
      </c>
      <c r="L83" s="7"/>
      <c r="M83" s="8" t="s">
        <v>1771</v>
      </c>
    </row>
    <row r="84" customFormat="false" ht="15" hidden="false" customHeight="false" outlineLevel="0" collapsed="false">
      <c r="A84" s="3" t="s">
        <v>2097</v>
      </c>
      <c r="B84" s="3" t="s">
        <v>448</v>
      </c>
      <c r="C84" s="4" t="s">
        <v>25</v>
      </c>
      <c r="D84" s="3" t="s">
        <v>2098</v>
      </c>
      <c r="E84" s="3" t="s">
        <v>2099</v>
      </c>
      <c r="F84" s="3" t="s">
        <v>28</v>
      </c>
      <c r="G84" s="11" t="n">
        <v>2026</v>
      </c>
      <c r="H84" s="3" t="s">
        <v>2100</v>
      </c>
      <c r="I84" s="3" t="s">
        <v>2096</v>
      </c>
      <c r="J84" s="4" t="s">
        <v>1875</v>
      </c>
      <c r="K84" s="6" t="s">
        <v>22</v>
      </c>
      <c r="L84" s="3"/>
      <c r="M84" s="4" t="s">
        <v>1771</v>
      </c>
    </row>
    <row r="85" customFormat="false" ht="15" hidden="false" customHeight="false" outlineLevel="0" collapsed="false">
      <c r="A85" s="7" t="s">
        <v>2101</v>
      </c>
      <c r="B85" s="7" t="s">
        <v>448</v>
      </c>
      <c r="C85" s="8" t="s">
        <v>31</v>
      </c>
      <c r="D85" s="7" t="s">
        <v>2011</v>
      </c>
      <c r="E85" s="7" t="s">
        <v>2102</v>
      </c>
      <c r="F85" s="7" t="s">
        <v>34</v>
      </c>
      <c r="G85" s="10" t="n">
        <v>2026</v>
      </c>
      <c r="H85" s="7" t="s">
        <v>2103</v>
      </c>
      <c r="I85" s="7" t="s">
        <v>2096</v>
      </c>
      <c r="J85" s="8" t="s">
        <v>1875</v>
      </c>
      <c r="K85" s="6" t="s">
        <v>22</v>
      </c>
      <c r="L85" s="7"/>
      <c r="M85" s="8" t="s">
        <v>1771</v>
      </c>
    </row>
    <row r="86" customFormat="false" ht="15" hidden="false" customHeight="false" outlineLevel="0" collapsed="false">
      <c r="A86" s="3" t="s">
        <v>2104</v>
      </c>
      <c r="B86" s="3" t="s">
        <v>556</v>
      </c>
      <c r="C86" s="4" t="s">
        <v>15</v>
      </c>
      <c r="D86" s="3" t="s">
        <v>2105</v>
      </c>
      <c r="E86" s="3" t="s">
        <v>2106</v>
      </c>
      <c r="F86" s="3" t="s">
        <v>18</v>
      </c>
      <c r="G86" s="11" t="n">
        <v>2026</v>
      </c>
      <c r="H86" s="3" t="s">
        <v>2107</v>
      </c>
      <c r="I86" s="3" t="s">
        <v>2108</v>
      </c>
      <c r="J86" s="4" t="s">
        <v>1875</v>
      </c>
      <c r="K86" s="6" t="s">
        <v>22</v>
      </c>
      <c r="L86" s="3"/>
      <c r="M86" s="4" t="s">
        <v>1771</v>
      </c>
    </row>
    <row r="87" customFormat="false" ht="15" hidden="false" customHeight="false" outlineLevel="0" collapsed="false">
      <c r="A87" s="7" t="s">
        <v>2109</v>
      </c>
      <c r="B87" s="7" t="s">
        <v>556</v>
      </c>
      <c r="C87" s="8" t="s">
        <v>25</v>
      </c>
      <c r="D87" s="7" t="s">
        <v>2110</v>
      </c>
      <c r="E87" s="7" t="s">
        <v>2111</v>
      </c>
      <c r="F87" s="7" t="s">
        <v>28</v>
      </c>
      <c r="G87" s="10" t="n">
        <v>2026</v>
      </c>
      <c r="H87" s="7" t="s">
        <v>2112</v>
      </c>
      <c r="I87" s="7" t="s">
        <v>2108</v>
      </c>
      <c r="J87" s="8" t="s">
        <v>1875</v>
      </c>
      <c r="K87" s="6" t="s">
        <v>22</v>
      </c>
      <c r="L87" s="7"/>
      <c r="M87" s="8" t="s">
        <v>1771</v>
      </c>
    </row>
    <row r="88" customFormat="false" ht="15" hidden="false" customHeight="false" outlineLevel="0" collapsed="false">
      <c r="A88" s="3" t="s">
        <v>2113</v>
      </c>
      <c r="B88" s="3" t="s">
        <v>556</v>
      </c>
      <c r="C88" s="4" t="s">
        <v>31</v>
      </c>
      <c r="D88" s="3" t="s">
        <v>2114</v>
      </c>
      <c r="E88" s="3" t="s">
        <v>2115</v>
      </c>
      <c r="F88" s="3" t="s">
        <v>34</v>
      </c>
      <c r="G88" s="11" t="n">
        <v>2026</v>
      </c>
      <c r="H88" s="3" t="s">
        <v>2116</v>
      </c>
      <c r="I88" s="3" t="s">
        <v>2108</v>
      </c>
      <c r="J88" s="4" t="s">
        <v>1875</v>
      </c>
      <c r="K88" s="6" t="s">
        <v>22</v>
      </c>
      <c r="L88" s="3"/>
      <c r="M88" s="4" t="s">
        <v>1771</v>
      </c>
    </row>
    <row r="89" customFormat="false" ht="15" hidden="false" customHeight="false" outlineLevel="0" collapsed="false">
      <c r="A89" s="7" t="s">
        <v>2117</v>
      </c>
      <c r="B89" s="7" t="s">
        <v>620</v>
      </c>
      <c r="C89" s="8" t="s">
        <v>15</v>
      </c>
      <c r="D89" s="7" t="s">
        <v>2118</v>
      </c>
      <c r="E89" s="7" t="s">
        <v>2119</v>
      </c>
      <c r="F89" s="7" t="s">
        <v>681</v>
      </c>
      <c r="G89" s="10" t="n">
        <v>2026</v>
      </c>
      <c r="H89" s="7" t="s">
        <v>2120</v>
      </c>
      <c r="I89" s="7" t="s">
        <v>2121</v>
      </c>
      <c r="J89" s="8" t="s">
        <v>1875</v>
      </c>
      <c r="K89" s="6" t="s">
        <v>22</v>
      </c>
      <c r="L89" s="7"/>
      <c r="M89" s="8" t="s">
        <v>1771</v>
      </c>
    </row>
    <row r="90" customFormat="false" ht="15" hidden="false" customHeight="false" outlineLevel="0" collapsed="false">
      <c r="A90" s="3" t="s">
        <v>2122</v>
      </c>
      <c r="B90" s="3" t="s">
        <v>620</v>
      </c>
      <c r="C90" s="4" t="s">
        <v>25</v>
      </c>
      <c r="D90" s="3" t="s">
        <v>2123</v>
      </c>
      <c r="E90" s="3" t="s">
        <v>2124</v>
      </c>
      <c r="F90" s="3" t="s">
        <v>687</v>
      </c>
      <c r="G90" s="11" t="n">
        <v>2026</v>
      </c>
      <c r="H90" s="3" t="s">
        <v>2125</v>
      </c>
      <c r="I90" s="3" t="s">
        <v>2121</v>
      </c>
      <c r="J90" s="4" t="s">
        <v>1875</v>
      </c>
      <c r="K90" s="6" t="s">
        <v>22</v>
      </c>
      <c r="L90" s="3"/>
      <c r="M90" s="4" t="s">
        <v>1771</v>
      </c>
    </row>
    <row r="91" customFormat="false" ht="15" hidden="false" customHeight="false" outlineLevel="0" collapsed="false">
      <c r="A91" s="7" t="s">
        <v>2126</v>
      </c>
      <c r="B91" s="7" t="s">
        <v>620</v>
      </c>
      <c r="C91" s="8" t="s">
        <v>31</v>
      </c>
      <c r="D91" s="7" t="s">
        <v>2127</v>
      </c>
      <c r="E91" s="7" t="s">
        <v>2128</v>
      </c>
      <c r="F91" s="7" t="s">
        <v>692</v>
      </c>
      <c r="G91" s="10" t="n">
        <v>2026</v>
      </c>
      <c r="H91" s="7" t="s">
        <v>2129</v>
      </c>
      <c r="I91" s="7" t="s">
        <v>2121</v>
      </c>
      <c r="J91" s="8" t="s">
        <v>1875</v>
      </c>
      <c r="K91" s="6" t="s">
        <v>22</v>
      </c>
      <c r="L91" s="7"/>
      <c r="M91" s="8" t="s">
        <v>1771</v>
      </c>
    </row>
    <row r="92" customFormat="false" ht="15" hidden="false" customHeight="false" outlineLevel="0" collapsed="false">
      <c r="A92" s="3" t="s">
        <v>2130</v>
      </c>
      <c r="B92" s="3" t="s">
        <v>620</v>
      </c>
      <c r="C92" s="4" t="s">
        <v>15</v>
      </c>
      <c r="D92" s="3" t="s">
        <v>2131</v>
      </c>
      <c r="E92" s="3" t="s">
        <v>2132</v>
      </c>
      <c r="F92" s="3" t="s">
        <v>681</v>
      </c>
      <c r="G92" s="11" t="n">
        <v>2026</v>
      </c>
      <c r="H92" s="3" t="s">
        <v>2133</v>
      </c>
      <c r="I92" s="3" t="s">
        <v>2134</v>
      </c>
      <c r="J92" s="4" t="s">
        <v>1875</v>
      </c>
      <c r="K92" s="6" t="s">
        <v>22</v>
      </c>
      <c r="L92" s="3"/>
      <c r="M92" s="4" t="s">
        <v>1771</v>
      </c>
    </row>
    <row r="93" customFormat="false" ht="15" hidden="false" customHeight="false" outlineLevel="0" collapsed="false">
      <c r="A93" s="7" t="s">
        <v>2135</v>
      </c>
      <c r="B93" s="7" t="s">
        <v>620</v>
      </c>
      <c r="C93" s="8" t="s">
        <v>25</v>
      </c>
      <c r="D93" s="7" t="s">
        <v>2136</v>
      </c>
      <c r="E93" s="7" t="s">
        <v>2137</v>
      </c>
      <c r="F93" s="7" t="s">
        <v>687</v>
      </c>
      <c r="G93" s="10" t="n">
        <v>2026</v>
      </c>
      <c r="H93" s="7" t="s">
        <v>2138</v>
      </c>
      <c r="I93" s="7" t="s">
        <v>2134</v>
      </c>
      <c r="J93" s="8" t="s">
        <v>1875</v>
      </c>
      <c r="K93" s="6" t="s">
        <v>22</v>
      </c>
      <c r="L93" s="7"/>
      <c r="M93" s="8" t="s">
        <v>1771</v>
      </c>
    </row>
    <row r="94" customFormat="false" ht="15" hidden="false" customHeight="false" outlineLevel="0" collapsed="false">
      <c r="A94" s="3" t="s">
        <v>2139</v>
      </c>
      <c r="B94" s="3" t="s">
        <v>620</v>
      </c>
      <c r="C94" s="4" t="s">
        <v>31</v>
      </c>
      <c r="D94" s="3" t="s">
        <v>2140</v>
      </c>
      <c r="E94" s="3" t="s">
        <v>2141</v>
      </c>
      <c r="F94" s="3" t="s">
        <v>692</v>
      </c>
      <c r="G94" s="11" t="n">
        <v>2026</v>
      </c>
      <c r="H94" s="3" t="s">
        <v>2142</v>
      </c>
      <c r="I94" s="3" t="s">
        <v>2134</v>
      </c>
      <c r="J94" s="4" t="s">
        <v>1875</v>
      </c>
      <c r="K94" s="6" t="s">
        <v>22</v>
      </c>
      <c r="L94" s="3"/>
      <c r="M94" s="4" t="s">
        <v>1771</v>
      </c>
    </row>
    <row r="95" customFormat="false" ht="15" hidden="false" customHeight="false" outlineLevel="0" collapsed="false">
      <c r="A95" s="7" t="s">
        <v>2143</v>
      </c>
      <c r="B95" s="7" t="s">
        <v>91</v>
      </c>
      <c r="C95" s="8" t="s">
        <v>15</v>
      </c>
      <c r="D95" s="7" t="s">
        <v>2144</v>
      </c>
      <c r="E95" s="7" t="s">
        <v>2145</v>
      </c>
      <c r="F95" s="7" t="s">
        <v>18</v>
      </c>
      <c r="G95" s="9"/>
      <c r="H95" s="7" t="s">
        <v>2146</v>
      </c>
      <c r="I95" s="7" t="s">
        <v>2147</v>
      </c>
      <c r="J95" s="8" t="s">
        <v>1875</v>
      </c>
      <c r="K95" s="6" t="s">
        <v>22</v>
      </c>
      <c r="L95" s="7"/>
      <c r="M95" s="8" t="s">
        <v>1771</v>
      </c>
    </row>
    <row r="96" customFormat="false" ht="15" hidden="false" customHeight="false" outlineLevel="0" collapsed="false">
      <c r="A96" s="3" t="s">
        <v>2148</v>
      </c>
      <c r="B96" s="3" t="s">
        <v>91</v>
      </c>
      <c r="C96" s="4" t="s">
        <v>25</v>
      </c>
      <c r="D96" s="3" t="s">
        <v>2149</v>
      </c>
      <c r="E96" s="3" t="s">
        <v>2150</v>
      </c>
      <c r="F96" s="3" t="s">
        <v>28</v>
      </c>
      <c r="G96" s="5"/>
      <c r="H96" s="3" t="s">
        <v>2151</v>
      </c>
      <c r="I96" s="3" t="s">
        <v>2147</v>
      </c>
      <c r="J96" s="4" t="s">
        <v>1875</v>
      </c>
      <c r="K96" s="6" t="s">
        <v>22</v>
      </c>
      <c r="L96" s="3"/>
      <c r="M96" s="4" t="s">
        <v>1771</v>
      </c>
    </row>
    <row r="97" customFormat="false" ht="15" hidden="false" customHeight="false" outlineLevel="0" collapsed="false">
      <c r="A97" s="7" t="s">
        <v>2152</v>
      </c>
      <c r="B97" s="7" t="s">
        <v>91</v>
      </c>
      <c r="C97" s="8" t="s">
        <v>31</v>
      </c>
      <c r="D97" s="7" t="s">
        <v>2153</v>
      </c>
      <c r="E97" s="7" t="s">
        <v>2154</v>
      </c>
      <c r="F97" s="7" t="s">
        <v>34</v>
      </c>
      <c r="G97" s="9"/>
      <c r="H97" s="7" t="s">
        <v>2155</v>
      </c>
      <c r="I97" s="7" t="s">
        <v>2147</v>
      </c>
      <c r="J97" s="8" t="s">
        <v>1875</v>
      </c>
      <c r="K97" s="6" t="s">
        <v>22</v>
      </c>
      <c r="L97" s="7"/>
      <c r="M97" s="8" t="s">
        <v>1771</v>
      </c>
    </row>
    <row r="98" customFormat="false" ht="15" hidden="false" customHeight="false" outlineLevel="0" collapsed="false">
      <c r="A98" s="3" t="s">
        <v>2156</v>
      </c>
      <c r="B98" s="3" t="s">
        <v>14</v>
      </c>
      <c r="C98" s="4" t="s">
        <v>15</v>
      </c>
      <c r="D98" s="3" t="s">
        <v>2157</v>
      </c>
      <c r="E98" s="3" t="s">
        <v>2158</v>
      </c>
      <c r="F98" s="3" t="s">
        <v>18</v>
      </c>
      <c r="G98" s="5"/>
      <c r="H98" s="3" t="s">
        <v>2159</v>
      </c>
      <c r="I98" s="3" t="s">
        <v>2160</v>
      </c>
      <c r="J98" s="4" t="s">
        <v>1875</v>
      </c>
      <c r="K98" s="6" t="s">
        <v>22</v>
      </c>
      <c r="L98" s="3"/>
      <c r="M98" s="4" t="s">
        <v>1771</v>
      </c>
    </row>
    <row r="99" customFormat="false" ht="15" hidden="false" customHeight="false" outlineLevel="0" collapsed="false">
      <c r="A99" s="7" t="s">
        <v>2161</v>
      </c>
      <c r="B99" s="7" t="s">
        <v>14</v>
      </c>
      <c r="C99" s="8" t="s">
        <v>25</v>
      </c>
      <c r="D99" s="7" t="s">
        <v>2162</v>
      </c>
      <c r="E99" s="7" t="s">
        <v>2163</v>
      </c>
      <c r="F99" s="7" t="s">
        <v>28</v>
      </c>
      <c r="G99" s="9"/>
      <c r="H99" s="7" t="s">
        <v>2164</v>
      </c>
      <c r="I99" s="7" t="s">
        <v>2160</v>
      </c>
      <c r="J99" s="8" t="s">
        <v>1875</v>
      </c>
      <c r="K99" s="6" t="s">
        <v>22</v>
      </c>
      <c r="L99" s="7"/>
      <c r="M99" s="8" t="s">
        <v>1771</v>
      </c>
    </row>
    <row r="100" customFormat="false" ht="15" hidden="false" customHeight="false" outlineLevel="0" collapsed="false">
      <c r="A100" s="3" t="s">
        <v>2165</v>
      </c>
      <c r="B100" s="3" t="s">
        <v>14</v>
      </c>
      <c r="C100" s="4" t="s">
        <v>31</v>
      </c>
      <c r="D100" s="3" t="s">
        <v>2166</v>
      </c>
      <c r="E100" s="3" t="s">
        <v>2167</v>
      </c>
      <c r="F100" s="3" t="s">
        <v>34</v>
      </c>
      <c r="G100" s="5"/>
      <c r="H100" s="3" t="s">
        <v>2168</v>
      </c>
      <c r="I100" s="3" t="s">
        <v>2160</v>
      </c>
      <c r="J100" s="4" t="s">
        <v>1875</v>
      </c>
      <c r="K100" s="6" t="s">
        <v>22</v>
      </c>
      <c r="L100" s="3"/>
      <c r="M100" s="4" t="s">
        <v>1771</v>
      </c>
    </row>
    <row r="101" customFormat="false" ht="15" hidden="false" customHeight="false" outlineLevel="0" collapsed="false">
      <c r="A101" s="7" t="s">
        <v>2169</v>
      </c>
      <c r="B101" s="7" t="s">
        <v>864</v>
      </c>
      <c r="C101" s="8" t="s">
        <v>15</v>
      </c>
      <c r="D101" s="7" t="s">
        <v>2170</v>
      </c>
      <c r="E101" s="7" t="s">
        <v>2171</v>
      </c>
      <c r="F101" s="7" t="s">
        <v>18</v>
      </c>
      <c r="G101" s="9"/>
      <c r="H101" s="7" t="s">
        <v>2172</v>
      </c>
      <c r="I101" s="7" t="s">
        <v>2173</v>
      </c>
      <c r="J101" s="8" t="s">
        <v>1875</v>
      </c>
      <c r="K101" s="6" t="s">
        <v>22</v>
      </c>
      <c r="L101" s="7"/>
      <c r="M101" s="8" t="s">
        <v>1771</v>
      </c>
    </row>
    <row r="102" customFormat="false" ht="15" hidden="false" customHeight="false" outlineLevel="0" collapsed="false">
      <c r="A102" s="3" t="s">
        <v>2174</v>
      </c>
      <c r="B102" s="3" t="s">
        <v>864</v>
      </c>
      <c r="C102" s="4" t="s">
        <v>25</v>
      </c>
      <c r="D102" s="3" t="s">
        <v>2175</v>
      </c>
      <c r="E102" s="3" t="s">
        <v>2176</v>
      </c>
      <c r="F102" s="3" t="s">
        <v>28</v>
      </c>
      <c r="G102" s="5"/>
      <c r="H102" s="3" t="s">
        <v>2177</v>
      </c>
      <c r="I102" s="3" t="s">
        <v>2173</v>
      </c>
      <c r="J102" s="4" t="s">
        <v>1875</v>
      </c>
      <c r="K102" s="6" t="s">
        <v>22</v>
      </c>
      <c r="L102" s="3"/>
      <c r="M102" s="4" t="s">
        <v>1771</v>
      </c>
    </row>
    <row r="103" customFormat="false" ht="15" hidden="false" customHeight="false" outlineLevel="0" collapsed="false">
      <c r="A103" s="7" t="s">
        <v>2178</v>
      </c>
      <c r="B103" s="7" t="s">
        <v>864</v>
      </c>
      <c r="C103" s="8" t="s">
        <v>31</v>
      </c>
      <c r="D103" s="7" t="s">
        <v>2179</v>
      </c>
      <c r="E103" s="7" t="s">
        <v>2180</v>
      </c>
      <c r="F103" s="7" t="s">
        <v>34</v>
      </c>
      <c r="G103" s="9"/>
      <c r="H103" s="7" t="s">
        <v>2181</v>
      </c>
      <c r="I103" s="7" t="s">
        <v>2173</v>
      </c>
      <c r="J103" s="8" t="s">
        <v>1875</v>
      </c>
      <c r="K103" s="6" t="s">
        <v>22</v>
      </c>
      <c r="L103" s="7"/>
      <c r="M103" s="8" t="s">
        <v>1771</v>
      </c>
    </row>
    <row r="104" customFormat="false" ht="15" hidden="false" customHeight="false" outlineLevel="0" collapsed="false">
      <c r="A104" s="3" t="s">
        <v>2182</v>
      </c>
      <c r="B104" s="3" t="s">
        <v>556</v>
      </c>
      <c r="C104" s="4" t="s">
        <v>15</v>
      </c>
      <c r="D104" s="3" t="s">
        <v>2183</v>
      </c>
      <c r="E104" s="3" t="s">
        <v>2184</v>
      </c>
      <c r="F104" s="3" t="s">
        <v>18</v>
      </c>
      <c r="G104" s="11" t="n">
        <v>2026</v>
      </c>
      <c r="H104" s="3" t="s">
        <v>2185</v>
      </c>
      <c r="I104" s="3" t="s">
        <v>2186</v>
      </c>
      <c r="J104" s="4" t="s">
        <v>1875</v>
      </c>
      <c r="K104" s="6" t="s">
        <v>22</v>
      </c>
      <c r="L104" s="3"/>
      <c r="M104" s="4" t="s">
        <v>1771</v>
      </c>
    </row>
    <row r="105" customFormat="false" ht="15" hidden="false" customHeight="false" outlineLevel="0" collapsed="false">
      <c r="A105" s="7" t="s">
        <v>2187</v>
      </c>
      <c r="B105" s="7" t="s">
        <v>556</v>
      </c>
      <c r="C105" s="8" t="s">
        <v>25</v>
      </c>
      <c r="D105" s="7" t="s">
        <v>2188</v>
      </c>
      <c r="E105" s="7" t="s">
        <v>2189</v>
      </c>
      <c r="F105" s="7" t="s">
        <v>28</v>
      </c>
      <c r="G105" s="10" t="n">
        <v>2026</v>
      </c>
      <c r="H105" s="7" t="s">
        <v>2190</v>
      </c>
      <c r="I105" s="7" t="s">
        <v>2186</v>
      </c>
      <c r="J105" s="8" t="s">
        <v>1875</v>
      </c>
      <c r="K105" s="6" t="s">
        <v>22</v>
      </c>
      <c r="L105" s="7"/>
      <c r="M105" s="8" t="s">
        <v>1771</v>
      </c>
    </row>
    <row r="106" customFormat="false" ht="15" hidden="false" customHeight="false" outlineLevel="0" collapsed="false">
      <c r="A106" s="3" t="s">
        <v>2191</v>
      </c>
      <c r="B106" s="3" t="s">
        <v>556</v>
      </c>
      <c r="C106" s="4" t="s">
        <v>31</v>
      </c>
      <c r="D106" s="3" t="s">
        <v>2192</v>
      </c>
      <c r="E106" s="3" t="s">
        <v>2193</v>
      </c>
      <c r="F106" s="3" t="s">
        <v>34</v>
      </c>
      <c r="G106" s="11" t="n">
        <v>2026</v>
      </c>
      <c r="H106" s="3" t="s">
        <v>2194</v>
      </c>
      <c r="I106" s="3" t="s">
        <v>2186</v>
      </c>
      <c r="J106" s="4" t="s">
        <v>1875</v>
      </c>
      <c r="K106" s="6" t="s">
        <v>22</v>
      </c>
      <c r="L106" s="3"/>
      <c r="M106" s="4" t="s">
        <v>1771</v>
      </c>
    </row>
    <row r="107" customFormat="false" ht="15" hidden="false" customHeight="false" outlineLevel="0" collapsed="false">
      <c r="A107" s="7" t="s">
        <v>2195</v>
      </c>
      <c r="B107" s="7" t="s">
        <v>91</v>
      </c>
      <c r="C107" s="8" t="s">
        <v>15</v>
      </c>
      <c r="D107" s="7" t="s">
        <v>2196</v>
      </c>
      <c r="E107" s="7" t="s">
        <v>2197</v>
      </c>
      <c r="F107" s="7" t="s">
        <v>18</v>
      </c>
      <c r="G107" s="9"/>
      <c r="H107" s="7" t="s">
        <v>2198</v>
      </c>
      <c r="I107" s="7" t="s">
        <v>2199</v>
      </c>
      <c r="J107" s="8" t="s">
        <v>1875</v>
      </c>
      <c r="K107" s="6" t="s">
        <v>22</v>
      </c>
      <c r="L107" s="7"/>
      <c r="M107" s="8" t="s">
        <v>1771</v>
      </c>
    </row>
    <row r="108" customFormat="false" ht="15" hidden="false" customHeight="false" outlineLevel="0" collapsed="false">
      <c r="A108" s="3" t="s">
        <v>2200</v>
      </c>
      <c r="B108" s="3" t="s">
        <v>91</v>
      </c>
      <c r="C108" s="4" t="s">
        <v>25</v>
      </c>
      <c r="D108" s="3" t="s">
        <v>2201</v>
      </c>
      <c r="E108" s="3" t="s">
        <v>2202</v>
      </c>
      <c r="F108" s="3" t="s">
        <v>28</v>
      </c>
      <c r="G108" s="5"/>
      <c r="H108" s="3" t="s">
        <v>2203</v>
      </c>
      <c r="I108" s="3" t="s">
        <v>2199</v>
      </c>
      <c r="J108" s="4" t="s">
        <v>1875</v>
      </c>
      <c r="K108" s="6" t="s">
        <v>22</v>
      </c>
      <c r="L108" s="3"/>
      <c r="M108" s="4" t="s">
        <v>1771</v>
      </c>
    </row>
    <row r="109" customFormat="false" ht="15" hidden="false" customHeight="false" outlineLevel="0" collapsed="false">
      <c r="A109" s="7" t="s">
        <v>2204</v>
      </c>
      <c r="B109" s="7" t="s">
        <v>91</v>
      </c>
      <c r="C109" s="8" t="s">
        <v>31</v>
      </c>
      <c r="D109" s="7" t="s">
        <v>2205</v>
      </c>
      <c r="E109" s="7" t="s">
        <v>2206</v>
      </c>
      <c r="F109" s="7" t="s">
        <v>34</v>
      </c>
      <c r="G109" s="9"/>
      <c r="H109" s="7" t="s">
        <v>2207</v>
      </c>
      <c r="I109" s="7" t="s">
        <v>2199</v>
      </c>
      <c r="J109" s="8" t="s">
        <v>1875</v>
      </c>
      <c r="K109" s="6" t="s">
        <v>22</v>
      </c>
      <c r="L109" s="7"/>
      <c r="M109" s="8" t="s">
        <v>1771</v>
      </c>
    </row>
    <row r="110" customFormat="false" ht="15" hidden="false" customHeight="false" outlineLevel="0" collapsed="false">
      <c r="A110" s="3" t="s">
        <v>2208</v>
      </c>
      <c r="B110" s="3" t="s">
        <v>14</v>
      </c>
      <c r="C110" s="4" t="s">
        <v>15</v>
      </c>
      <c r="D110" s="3" t="s">
        <v>2209</v>
      </c>
      <c r="E110" s="3" t="s">
        <v>2210</v>
      </c>
      <c r="F110" s="3" t="s">
        <v>18</v>
      </c>
      <c r="G110" s="5"/>
      <c r="H110" s="3" t="s">
        <v>2211</v>
      </c>
      <c r="I110" s="3" t="s">
        <v>2212</v>
      </c>
      <c r="J110" s="4" t="s">
        <v>1875</v>
      </c>
      <c r="K110" s="6" t="s">
        <v>22</v>
      </c>
      <c r="L110" s="3"/>
      <c r="M110" s="4" t="s">
        <v>1771</v>
      </c>
    </row>
    <row r="111" customFormat="false" ht="15" hidden="false" customHeight="false" outlineLevel="0" collapsed="false">
      <c r="A111" s="7" t="s">
        <v>2213</v>
      </c>
      <c r="B111" s="7" t="s">
        <v>14</v>
      </c>
      <c r="C111" s="8" t="s">
        <v>25</v>
      </c>
      <c r="D111" s="7" t="s">
        <v>2214</v>
      </c>
      <c r="E111" s="7" t="s">
        <v>2215</v>
      </c>
      <c r="F111" s="7" t="s">
        <v>28</v>
      </c>
      <c r="G111" s="9"/>
      <c r="H111" s="7" t="s">
        <v>2216</v>
      </c>
      <c r="I111" s="7" t="s">
        <v>2212</v>
      </c>
      <c r="J111" s="8" t="s">
        <v>1875</v>
      </c>
      <c r="K111" s="6" t="s">
        <v>22</v>
      </c>
      <c r="L111" s="7"/>
      <c r="M111" s="8" t="s">
        <v>1771</v>
      </c>
    </row>
    <row r="112" customFormat="false" ht="15" hidden="false" customHeight="false" outlineLevel="0" collapsed="false">
      <c r="A112" s="3" t="s">
        <v>2217</v>
      </c>
      <c r="B112" s="3" t="s">
        <v>14</v>
      </c>
      <c r="C112" s="4" t="s">
        <v>31</v>
      </c>
      <c r="D112" s="3" t="s">
        <v>2218</v>
      </c>
      <c r="E112" s="3" t="s">
        <v>2219</v>
      </c>
      <c r="F112" s="3" t="s">
        <v>34</v>
      </c>
      <c r="G112" s="5"/>
      <c r="H112" s="3" t="s">
        <v>2220</v>
      </c>
      <c r="I112" s="3" t="s">
        <v>2212</v>
      </c>
      <c r="J112" s="4" t="s">
        <v>1875</v>
      </c>
      <c r="K112" s="6" t="s">
        <v>22</v>
      </c>
      <c r="L112" s="3"/>
      <c r="M112" s="4" t="s">
        <v>1771</v>
      </c>
    </row>
    <row r="113" customFormat="false" ht="15" hidden="false" customHeight="false" outlineLevel="0" collapsed="false">
      <c r="A113" s="7" t="s">
        <v>2221</v>
      </c>
      <c r="B113" s="7" t="s">
        <v>448</v>
      </c>
      <c r="C113" s="8" t="s">
        <v>15</v>
      </c>
      <c r="D113" s="7" t="s">
        <v>2222</v>
      </c>
      <c r="E113" s="7" t="s">
        <v>2223</v>
      </c>
      <c r="F113" s="7" t="s">
        <v>1685</v>
      </c>
      <c r="G113" s="10" t="n">
        <v>2026</v>
      </c>
      <c r="H113" s="7" t="s">
        <v>2224</v>
      </c>
      <c r="I113" s="7" t="s">
        <v>2225</v>
      </c>
      <c r="J113" s="8" t="s">
        <v>1875</v>
      </c>
      <c r="K113" s="6" t="s">
        <v>22</v>
      </c>
      <c r="L113" s="7"/>
      <c r="M113" s="8" t="s">
        <v>1771</v>
      </c>
    </row>
    <row r="114" customFormat="false" ht="15" hidden="false" customHeight="false" outlineLevel="0" collapsed="false">
      <c r="A114" s="3" t="s">
        <v>2226</v>
      </c>
      <c r="B114" s="3" t="s">
        <v>448</v>
      </c>
      <c r="C114" s="4" t="s">
        <v>25</v>
      </c>
      <c r="D114" s="3" t="s">
        <v>2227</v>
      </c>
      <c r="E114" s="3" t="s">
        <v>2228</v>
      </c>
      <c r="F114" s="3" t="s">
        <v>1691</v>
      </c>
      <c r="G114" s="11" t="n">
        <v>2026</v>
      </c>
      <c r="H114" s="3" t="s">
        <v>2229</v>
      </c>
      <c r="I114" s="3" t="s">
        <v>2225</v>
      </c>
      <c r="J114" s="4" t="s">
        <v>1875</v>
      </c>
      <c r="K114" s="6" t="s">
        <v>22</v>
      </c>
      <c r="L114" s="3"/>
      <c r="M114" s="4" t="s">
        <v>1771</v>
      </c>
    </row>
    <row r="115" customFormat="false" ht="15" hidden="false" customHeight="false" outlineLevel="0" collapsed="false">
      <c r="A115" s="7" t="s">
        <v>2230</v>
      </c>
      <c r="B115" s="7" t="s">
        <v>448</v>
      </c>
      <c r="C115" s="8" t="s">
        <v>31</v>
      </c>
      <c r="D115" s="7" t="s">
        <v>2231</v>
      </c>
      <c r="E115" s="7" t="s">
        <v>2232</v>
      </c>
      <c r="F115" s="7" t="s">
        <v>1696</v>
      </c>
      <c r="G115" s="10" t="n">
        <v>2026</v>
      </c>
      <c r="H115" s="7" t="s">
        <v>2233</v>
      </c>
      <c r="I115" s="7" t="s">
        <v>2225</v>
      </c>
      <c r="J115" s="8" t="s">
        <v>1875</v>
      </c>
      <c r="K115" s="6" t="s">
        <v>22</v>
      </c>
      <c r="L115" s="7"/>
      <c r="M115" s="8" t="s">
        <v>1771</v>
      </c>
    </row>
    <row r="116" customFormat="false" ht="15" hidden="false" customHeight="false" outlineLevel="0" collapsed="false">
      <c r="A116" s="3" t="s">
        <v>2234</v>
      </c>
      <c r="B116" s="3" t="s">
        <v>823</v>
      </c>
      <c r="C116" s="4" t="s">
        <v>15</v>
      </c>
      <c r="D116" s="3" t="s">
        <v>2235</v>
      </c>
      <c r="E116" s="3" t="s">
        <v>2236</v>
      </c>
      <c r="F116" s="3" t="s">
        <v>1701</v>
      </c>
      <c r="G116" s="5"/>
      <c r="H116" s="3" t="s">
        <v>2237</v>
      </c>
      <c r="I116" s="3" t="s">
        <v>2238</v>
      </c>
      <c r="J116" s="4" t="s">
        <v>1875</v>
      </c>
      <c r="K116" s="6" t="s">
        <v>22</v>
      </c>
      <c r="L116" s="3"/>
      <c r="M116" s="4" t="s">
        <v>1771</v>
      </c>
    </row>
    <row r="117" customFormat="false" ht="15" hidden="false" customHeight="false" outlineLevel="0" collapsed="false">
      <c r="A117" s="7" t="s">
        <v>2239</v>
      </c>
      <c r="B117" s="7" t="s">
        <v>823</v>
      </c>
      <c r="C117" s="8" t="s">
        <v>25</v>
      </c>
      <c r="D117" s="7" t="s">
        <v>2240</v>
      </c>
      <c r="E117" s="7" t="s">
        <v>2241</v>
      </c>
      <c r="F117" s="7" t="s">
        <v>1707</v>
      </c>
      <c r="G117" s="9"/>
      <c r="H117" s="7" t="s">
        <v>2242</v>
      </c>
      <c r="I117" s="7" t="s">
        <v>2238</v>
      </c>
      <c r="J117" s="8" t="s">
        <v>1875</v>
      </c>
      <c r="K117" s="6" t="s">
        <v>22</v>
      </c>
      <c r="L117" s="7"/>
      <c r="M117" s="8" t="s">
        <v>1771</v>
      </c>
    </row>
    <row r="118" customFormat="false" ht="15" hidden="false" customHeight="false" outlineLevel="0" collapsed="false">
      <c r="A118" s="3" t="s">
        <v>2243</v>
      </c>
      <c r="B118" s="3" t="s">
        <v>823</v>
      </c>
      <c r="C118" s="4" t="s">
        <v>31</v>
      </c>
      <c r="D118" s="3" t="s">
        <v>2244</v>
      </c>
      <c r="E118" s="3" t="s">
        <v>2245</v>
      </c>
      <c r="F118" s="3" t="s">
        <v>1712</v>
      </c>
      <c r="G118" s="5"/>
      <c r="H118" s="3" t="s">
        <v>2246</v>
      </c>
      <c r="I118" s="3" t="s">
        <v>2238</v>
      </c>
      <c r="J118" s="4" t="s">
        <v>1875</v>
      </c>
      <c r="K118" s="6" t="s">
        <v>22</v>
      </c>
      <c r="L118" s="3"/>
      <c r="M118" s="4" t="s">
        <v>1771</v>
      </c>
    </row>
    <row r="119" customFormat="false" ht="15" hidden="false" customHeight="false" outlineLevel="0" collapsed="false">
      <c r="A119" s="7" t="s">
        <v>2247</v>
      </c>
      <c r="B119" s="7" t="s">
        <v>823</v>
      </c>
      <c r="C119" s="8" t="s">
        <v>15</v>
      </c>
      <c r="D119" s="7" t="s">
        <v>2248</v>
      </c>
      <c r="E119" s="7" t="s">
        <v>2249</v>
      </c>
      <c r="F119" s="7" t="s">
        <v>1701</v>
      </c>
      <c r="G119" s="9"/>
      <c r="H119" s="7" t="s">
        <v>2250</v>
      </c>
      <c r="I119" s="7" t="s">
        <v>2251</v>
      </c>
      <c r="J119" s="8" t="s">
        <v>1875</v>
      </c>
      <c r="K119" s="6" t="s">
        <v>22</v>
      </c>
      <c r="L119" s="7" t="s">
        <v>18</v>
      </c>
      <c r="M119" s="8" t="s">
        <v>1771</v>
      </c>
    </row>
    <row r="120" customFormat="false" ht="15" hidden="false" customHeight="false" outlineLevel="0" collapsed="false">
      <c r="A120" s="3" t="s">
        <v>2252</v>
      </c>
      <c r="B120" s="3" t="s">
        <v>823</v>
      </c>
      <c r="C120" s="4" t="s">
        <v>25</v>
      </c>
      <c r="D120" s="3" t="s">
        <v>2253</v>
      </c>
      <c r="E120" s="3" t="s">
        <v>2254</v>
      </c>
      <c r="F120" s="3" t="s">
        <v>1707</v>
      </c>
      <c r="G120" s="5"/>
      <c r="H120" s="3" t="s">
        <v>2255</v>
      </c>
      <c r="I120" s="3" t="s">
        <v>2251</v>
      </c>
      <c r="J120" s="4" t="s">
        <v>1875</v>
      </c>
      <c r="K120" s="6" t="s">
        <v>22</v>
      </c>
      <c r="L120" s="3" t="s">
        <v>28</v>
      </c>
      <c r="M120" s="4" t="s">
        <v>1771</v>
      </c>
    </row>
    <row r="121" customFormat="false" ht="15" hidden="false" customHeight="false" outlineLevel="0" collapsed="false">
      <c r="A121" s="7" t="s">
        <v>2256</v>
      </c>
      <c r="B121" s="7" t="s">
        <v>823</v>
      </c>
      <c r="C121" s="8" t="s">
        <v>31</v>
      </c>
      <c r="D121" s="7" t="s">
        <v>2257</v>
      </c>
      <c r="E121" s="7" t="s">
        <v>2258</v>
      </c>
      <c r="F121" s="7" t="s">
        <v>1712</v>
      </c>
      <c r="G121" s="9"/>
      <c r="H121" s="7" t="s">
        <v>2259</v>
      </c>
      <c r="I121" s="7" t="s">
        <v>2251</v>
      </c>
      <c r="J121" s="8" t="s">
        <v>1875</v>
      </c>
      <c r="K121" s="6" t="s">
        <v>22</v>
      </c>
      <c r="L121" s="7" t="s">
        <v>34</v>
      </c>
      <c r="M121" s="8" t="s">
        <v>1771</v>
      </c>
    </row>
    <row r="122" customFormat="false" ht="15" hidden="false" customHeight="false" outlineLevel="0" collapsed="false">
      <c r="A122" s="3" t="s">
        <v>2260</v>
      </c>
      <c r="B122" s="3" t="s">
        <v>448</v>
      </c>
      <c r="C122" s="4" t="s">
        <v>15</v>
      </c>
      <c r="D122" s="3" t="s">
        <v>2261</v>
      </c>
      <c r="E122" s="3" t="s">
        <v>2262</v>
      </c>
      <c r="F122" s="3" t="s">
        <v>1685</v>
      </c>
      <c r="G122" s="11" t="n">
        <v>2026</v>
      </c>
      <c r="H122" s="3" t="s">
        <v>2263</v>
      </c>
      <c r="I122" s="3" t="s">
        <v>2264</v>
      </c>
      <c r="J122" s="4" t="s">
        <v>1875</v>
      </c>
      <c r="K122" s="6" t="s">
        <v>22</v>
      </c>
      <c r="L122" s="3"/>
      <c r="M122" s="4" t="s">
        <v>1771</v>
      </c>
    </row>
    <row r="123" customFormat="false" ht="15" hidden="false" customHeight="false" outlineLevel="0" collapsed="false">
      <c r="A123" s="7" t="s">
        <v>2265</v>
      </c>
      <c r="B123" s="7" t="s">
        <v>448</v>
      </c>
      <c r="C123" s="8" t="s">
        <v>25</v>
      </c>
      <c r="D123" s="7" t="s">
        <v>2266</v>
      </c>
      <c r="E123" s="7" t="s">
        <v>2267</v>
      </c>
      <c r="F123" s="7" t="s">
        <v>1691</v>
      </c>
      <c r="G123" s="10" t="n">
        <v>2026</v>
      </c>
      <c r="H123" s="7" t="s">
        <v>2268</v>
      </c>
      <c r="I123" s="7" t="s">
        <v>2264</v>
      </c>
      <c r="J123" s="8" t="s">
        <v>1875</v>
      </c>
      <c r="K123" s="6" t="s">
        <v>22</v>
      </c>
      <c r="L123" s="7"/>
      <c r="M123" s="8" t="s">
        <v>1771</v>
      </c>
    </row>
    <row r="124" customFormat="false" ht="15" hidden="false" customHeight="false" outlineLevel="0" collapsed="false">
      <c r="A124" s="3" t="s">
        <v>2269</v>
      </c>
      <c r="B124" s="3" t="s">
        <v>448</v>
      </c>
      <c r="C124" s="4" t="s">
        <v>31</v>
      </c>
      <c r="D124" s="3" t="s">
        <v>2270</v>
      </c>
      <c r="E124" s="3" t="s">
        <v>2271</v>
      </c>
      <c r="F124" s="3" t="s">
        <v>1696</v>
      </c>
      <c r="G124" s="11" t="n">
        <v>2026</v>
      </c>
      <c r="H124" s="3" t="s">
        <v>2272</v>
      </c>
      <c r="I124" s="3" t="s">
        <v>2264</v>
      </c>
      <c r="J124" s="4" t="s">
        <v>1875</v>
      </c>
      <c r="K124" s="6" t="s">
        <v>22</v>
      </c>
      <c r="L124" s="3"/>
      <c r="M124" s="4" t="s">
        <v>1771</v>
      </c>
    </row>
    <row r="125" customFormat="false" ht="15" hidden="false" customHeight="false" outlineLevel="0" collapsed="false">
      <c r="A125" s="7" t="s">
        <v>2273</v>
      </c>
      <c r="B125" s="7" t="s">
        <v>14</v>
      </c>
      <c r="C125" s="8" t="s">
        <v>15</v>
      </c>
      <c r="D125" s="7" t="s">
        <v>2274</v>
      </c>
      <c r="E125" s="7" t="s">
        <v>2275</v>
      </c>
      <c r="F125" s="7" t="s">
        <v>18</v>
      </c>
      <c r="G125" s="9"/>
      <c r="H125" s="7" t="s">
        <v>2276</v>
      </c>
      <c r="I125" s="7" t="s">
        <v>2277</v>
      </c>
      <c r="J125" s="8" t="s">
        <v>1875</v>
      </c>
      <c r="K125" s="6" t="s">
        <v>22</v>
      </c>
      <c r="L125" s="7"/>
      <c r="M125" s="8" t="s">
        <v>1771</v>
      </c>
    </row>
    <row r="126" customFormat="false" ht="15" hidden="false" customHeight="false" outlineLevel="0" collapsed="false">
      <c r="A126" s="3" t="s">
        <v>2278</v>
      </c>
      <c r="B126" s="3" t="s">
        <v>14</v>
      </c>
      <c r="C126" s="4" t="s">
        <v>25</v>
      </c>
      <c r="D126" s="3" t="s">
        <v>2279</v>
      </c>
      <c r="E126" s="3" t="s">
        <v>2280</v>
      </c>
      <c r="F126" s="3" t="s">
        <v>28</v>
      </c>
      <c r="G126" s="5"/>
      <c r="H126" s="3" t="s">
        <v>2281</v>
      </c>
      <c r="I126" s="3" t="s">
        <v>2277</v>
      </c>
      <c r="J126" s="4" t="s">
        <v>1875</v>
      </c>
      <c r="K126" s="6" t="s">
        <v>22</v>
      </c>
      <c r="L126" s="3"/>
      <c r="M126" s="4" t="s">
        <v>1771</v>
      </c>
    </row>
    <row r="127" customFormat="false" ht="15" hidden="false" customHeight="false" outlineLevel="0" collapsed="false">
      <c r="A127" s="7" t="s">
        <v>2282</v>
      </c>
      <c r="B127" s="7" t="s">
        <v>14</v>
      </c>
      <c r="C127" s="8" t="s">
        <v>31</v>
      </c>
      <c r="D127" s="7" t="s">
        <v>2283</v>
      </c>
      <c r="E127" s="7" t="s">
        <v>2284</v>
      </c>
      <c r="F127" s="7" t="s">
        <v>34</v>
      </c>
      <c r="G127" s="9"/>
      <c r="H127" s="7" t="s">
        <v>2285</v>
      </c>
      <c r="I127" s="7" t="s">
        <v>2277</v>
      </c>
      <c r="J127" s="8" t="s">
        <v>1875</v>
      </c>
      <c r="K127" s="6" t="s">
        <v>22</v>
      </c>
      <c r="L127" s="7"/>
      <c r="M127" s="8" t="s">
        <v>1771</v>
      </c>
    </row>
    <row r="128" customFormat="false" ht="15" hidden="false" customHeight="false" outlineLevel="0" collapsed="false">
      <c r="A128" s="3" t="s">
        <v>2286</v>
      </c>
      <c r="B128" s="3" t="s">
        <v>91</v>
      </c>
      <c r="C128" s="4" t="s">
        <v>15</v>
      </c>
      <c r="D128" s="3" t="s">
        <v>2287</v>
      </c>
      <c r="E128" s="3" t="s">
        <v>2288</v>
      </c>
      <c r="F128" s="3" t="s">
        <v>18</v>
      </c>
      <c r="G128" s="5"/>
      <c r="H128" s="3" t="s">
        <v>2289</v>
      </c>
      <c r="I128" s="3" t="s">
        <v>2290</v>
      </c>
      <c r="J128" s="4" t="s">
        <v>1875</v>
      </c>
      <c r="K128" s="6" t="s">
        <v>22</v>
      </c>
      <c r="L128" s="3"/>
      <c r="M128" s="4" t="s">
        <v>1771</v>
      </c>
    </row>
    <row r="129" customFormat="false" ht="15" hidden="false" customHeight="false" outlineLevel="0" collapsed="false">
      <c r="A129" s="7" t="s">
        <v>2291</v>
      </c>
      <c r="B129" s="7" t="s">
        <v>91</v>
      </c>
      <c r="C129" s="8" t="s">
        <v>25</v>
      </c>
      <c r="D129" s="7" t="s">
        <v>2292</v>
      </c>
      <c r="E129" s="7" t="s">
        <v>2293</v>
      </c>
      <c r="F129" s="7" t="s">
        <v>28</v>
      </c>
      <c r="G129" s="9"/>
      <c r="H129" s="7" t="s">
        <v>2294</v>
      </c>
      <c r="I129" s="7" t="s">
        <v>2290</v>
      </c>
      <c r="J129" s="8" t="s">
        <v>1875</v>
      </c>
      <c r="K129" s="6" t="s">
        <v>22</v>
      </c>
      <c r="L129" s="7"/>
      <c r="M129" s="8" t="s">
        <v>1771</v>
      </c>
    </row>
    <row r="130" customFormat="false" ht="15" hidden="false" customHeight="false" outlineLevel="0" collapsed="false">
      <c r="A130" s="3" t="s">
        <v>2295</v>
      </c>
      <c r="B130" s="3" t="s">
        <v>91</v>
      </c>
      <c r="C130" s="4" t="s">
        <v>31</v>
      </c>
      <c r="D130" s="3" t="s">
        <v>2296</v>
      </c>
      <c r="E130" s="3" t="s">
        <v>2297</v>
      </c>
      <c r="F130" s="3" t="s">
        <v>34</v>
      </c>
      <c r="G130" s="5"/>
      <c r="H130" s="3" t="s">
        <v>2298</v>
      </c>
      <c r="I130" s="3" t="s">
        <v>2290</v>
      </c>
      <c r="J130" s="4" t="s">
        <v>1875</v>
      </c>
      <c r="K130" s="6" t="s">
        <v>22</v>
      </c>
      <c r="L130" s="3"/>
      <c r="M130" s="4" t="s">
        <v>1771</v>
      </c>
    </row>
    <row r="131" customFormat="false" ht="15" hidden="false" customHeight="false" outlineLevel="0" collapsed="false">
      <c r="A131" s="7" t="s">
        <v>2299</v>
      </c>
      <c r="B131" s="7" t="s">
        <v>91</v>
      </c>
      <c r="C131" s="8" t="s">
        <v>15</v>
      </c>
      <c r="D131" s="7" t="s">
        <v>2300</v>
      </c>
      <c r="E131" s="7" t="s">
        <v>2301</v>
      </c>
      <c r="F131" s="7" t="s">
        <v>18</v>
      </c>
      <c r="G131" s="10" t="n">
        <v>2026</v>
      </c>
      <c r="H131" s="7" t="s">
        <v>2302</v>
      </c>
      <c r="I131" s="7" t="s">
        <v>2303</v>
      </c>
      <c r="J131" s="8" t="s">
        <v>1875</v>
      </c>
      <c r="K131" s="6" t="s">
        <v>22</v>
      </c>
      <c r="L131" s="7"/>
      <c r="M131" s="8" t="s">
        <v>1771</v>
      </c>
    </row>
    <row r="132" customFormat="false" ht="15" hidden="false" customHeight="false" outlineLevel="0" collapsed="false">
      <c r="A132" s="3" t="s">
        <v>2304</v>
      </c>
      <c r="B132" s="3" t="s">
        <v>91</v>
      </c>
      <c r="C132" s="4" t="s">
        <v>25</v>
      </c>
      <c r="D132" s="3" t="s">
        <v>2305</v>
      </c>
      <c r="E132" s="3" t="s">
        <v>2306</v>
      </c>
      <c r="F132" s="3" t="s">
        <v>28</v>
      </c>
      <c r="G132" s="11" t="n">
        <v>2026</v>
      </c>
      <c r="H132" s="3" t="s">
        <v>2307</v>
      </c>
      <c r="I132" s="3" t="s">
        <v>2303</v>
      </c>
      <c r="J132" s="4" t="s">
        <v>1875</v>
      </c>
      <c r="K132" s="6" t="s">
        <v>22</v>
      </c>
      <c r="L132" s="3"/>
      <c r="M132" s="4" t="s">
        <v>1771</v>
      </c>
    </row>
    <row r="133" customFormat="false" ht="15" hidden="false" customHeight="false" outlineLevel="0" collapsed="false">
      <c r="A133" s="7" t="s">
        <v>2308</v>
      </c>
      <c r="B133" s="7" t="s">
        <v>91</v>
      </c>
      <c r="C133" s="8" t="s">
        <v>31</v>
      </c>
      <c r="D133" s="7" t="s">
        <v>2309</v>
      </c>
      <c r="E133" s="7" t="s">
        <v>2310</v>
      </c>
      <c r="F133" s="7" t="s">
        <v>34</v>
      </c>
      <c r="G133" s="10" t="n">
        <v>2026</v>
      </c>
      <c r="H133" s="7" t="s">
        <v>2311</v>
      </c>
      <c r="I133" s="7" t="s">
        <v>2303</v>
      </c>
      <c r="J133" s="8" t="s">
        <v>1875</v>
      </c>
      <c r="K133" s="6" t="s">
        <v>22</v>
      </c>
      <c r="L133" s="7"/>
      <c r="M133" s="8" t="s">
        <v>1771</v>
      </c>
    </row>
    <row r="134" customFormat="false" ht="15" hidden="false" customHeight="false" outlineLevel="0" collapsed="false">
      <c r="A134" s="3" t="s">
        <v>2312</v>
      </c>
      <c r="B134" s="3" t="s">
        <v>620</v>
      </c>
      <c r="C134" s="4" t="s">
        <v>15</v>
      </c>
      <c r="D134" s="3" t="s">
        <v>2313</v>
      </c>
      <c r="E134" s="3" t="s">
        <v>2314</v>
      </c>
      <c r="F134" s="3" t="s">
        <v>18</v>
      </c>
      <c r="G134" s="11" t="n">
        <v>2026</v>
      </c>
      <c r="H134" s="3" t="s">
        <v>2315</v>
      </c>
      <c r="I134" s="3" t="s">
        <v>2316</v>
      </c>
      <c r="J134" s="4" t="s">
        <v>1875</v>
      </c>
      <c r="K134" s="6" t="s">
        <v>22</v>
      </c>
      <c r="L134" s="3" t="s">
        <v>681</v>
      </c>
      <c r="M134" s="4" t="s">
        <v>1771</v>
      </c>
    </row>
    <row r="135" customFormat="false" ht="15" hidden="false" customHeight="false" outlineLevel="0" collapsed="false">
      <c r="A135" s="7" t="s">
        <v>2317</v>
      </c>
      <c r="B135" s="7" t="s">
        <v>620</v>
      </c>
      <c r="C135" s="8" t="s">
        <v>25</v>
      </c>
      <c r="D135" s="7" t="s">
        <v>2318</v>
      </c>
      <c r="E135" s="7" t="s">
        <v>2319</v>
      </c>
      <c r="F135" s="7" t="s">
        <v>28</v>
      </c>
      <c r="G135" s="10" t="n">
        <v>2026</v>
      </c>
      <c r="H135" s="7" t="s">
        <v>2320</v>
      </c>
      <c r="I135" s="7" t="s">
        <v>2316</v>
      </c>
      <c r="J135" s="8" t="s">
        <v>1875</v>
      </c>
      <c r="K135" s="6" t="s">
        <v>22</v>
      </c>
      <c r="L135" s="7" t="s">
        <v>687</v>
      </c>
      <c r="M135" s="8" t="s">
        <v>1771</v>
      </c>
    </row>
    <row r="136" customFormat="false" ht="15" hidden="false" customHeight="false" outlineLevel="0" collapsed="false">
      <c r="A136" s="3" t="s">
        <v>2321</v>
      </c>
      <c r="B136" s="3" t="s">
        <v>620</v>
      </c>
      <c r="C136" s="4" t="s">
        <v>31</v>
      </c>
      <c r="D136" s="3" t="s">
        <v>2322</v>
      </c>
      <c r="E136" s="3" t="s">
        <v>2323</v>
      </c>
      <c r="F136" s="3" t="s">
        <v>34</v>
      </c>
      <c r="G136" s="11" t="n">
        <v>2026</v>
      </c>
      <c r="H136" s="3" t="s">
        <v>2324</v>
      </c>
      <c r="I136" s="3" t="s">
        <v>2316</v>
      </c>
      <c r="J136" s="4" t="s">
        <v>1875</v>
      </c>
      <c r="K136" s="6" t="s">
        <v>22</v>
      </c>
      <c r="L136" s="3" t="s">
        <v>692</v>
      </c>
      <c r="M136" s="4" t="s">
        <v>1771</v>
      </c>
    </row>
    <row r="137" customFormat="false" ht="15" hidden="false" customHeight="false" outlineLevel="0" collapsed="false">
      <c r="A137" s="7" t="s">
        <v>2325</v>
      </c>
      <c r="B137" s="7" t="s">
        <v>758</v>
      </c>
      <c r="C137" s="8" t="s">
        <v>15</v>
      </c>
      <c r="D137" s="7" t="s">
        <v>2326</v>
      </c>
      <c r="E137" s="7" t="s">
        <v>2327</v>
      </c>
      <c r="F137" s="7" t="s">
        <v>18</v>
      </c>
      <c r="G137" s="9"/>
      <c r="H137" s="7" t="s">
        <v>2328</v>
      </c>
      <c r="I137" s="7" t="s">
        <v>2329</v>
      </c>
      <c r="J137" s="8" t="s">
        <v>1875</v>
      </c>
      <c r="K137" s="6" t="s">
        <v>22</v>
      </c>
      <c r="L137" s="7" t="s">
        <v>1624</v>
      </c>
      <c r="M137" s="8" t="s">
        <v>1771</v>
      </c>
    </row>
    <row r="138" customFormat="false" ht="15" hidden="false" customHeight="false" outlineLevel="0" collapsed="false">
      <c r="A138" s="3" t="s">
        <v>2330</v>
      </c>
      <c r="B138" s="3" t="s">
        <v>758</v>
      </c>
      <c r="C138" s="4" t="s">
        <v>25</v>
      </c>
      <c r="D138" s="3" t="s">
        <v>2331</v>
      </c>
      <c r="E138" s="3" t="s">
        <v>2332</v>
      </c>
      <c r="F138" s="3" t="s">
        <v>28</v>
      </c>
      <c r="G138" s="5"/>
      <c r="H138" s="3" t="s">
        <v>2333</v>
      </c>
      <c r="I138" s="3" t="s">
        <v>2329</v>
      </c>
      <c r="J138" s="4" t="s">
        <v>1875</v>
      </c>
      <c r="K138" s="6" t="s">
        <v>22</v>
      </c>
      <c r="L138" s="3" t="s">
        <v>1630</v>
      </c>
      <c r="M138" s="4" t="s">
        <v>1771</v>
      </c>
    </row>
    <row r="139" customFormat="false" ht="15" hidden="false" customHeight="false" outlineLevel="0" collapsed="false">
      <c r="A139" s="7" t="s">
        <v>2334</v>
      </c>
      <c r="B139" s="7" t="s">
        <v>758</v>
      </c>
      <c r="C139" s="8" t="s">
        <v>31</v>
      </c>
      <c r="D139" s="7" t="s">
        <v>2335</v>
      </c>
      <c r="E139" s="7" t="s">
        <v>2336</v>
      </c>
      <c r="F139" s="7" t="s">
        <v>34</v>
      </c>
      <c r="G139" s="9"/>
      <c r="H139" s="7" t="s">
        <v>2337</v>
      </c>
      <c r="I139" s="7" t="s">
        <v>2329</v>
      </c>
      <c r="J139" s="8" t="s">
        <v>1875</v>
      </c>
      <c r="K139" s="6" t="s">
        <v>22</v>
      </c>
      <c r="L139" s="7" t="s">
        <v>1635</v>
      </c>
      <c r="M139" s="8" t="s">
        <v>1771</v>
      </c>
    </row>
    <row r="140" customFormat="false" ht="15" hidden="false" customHeight="false" outlineLevel="0" collapsed="false">
      <c r="A140" s="3" t="s">
        <v>2338</v>
      </c>
      <c r="B140" s="3" t="s">
        <v>1060</v>
      </c>
      <c r="C140" s="4" t="s">
        <v>15</v>
      </c>
      <c r="D140" s="3" t="s">
        <v>2339</v>
      </c>
      <c r="E140" s="3" t="s">
        <v>2340</v>
      </c>
      <c r="F140" s="3" t="s">
        <v>18</v>
      </c>
      <c r="G140" s="5"/>
      <c r="H140" s="3" t="s">
        <v>2341</v>
      </c>
      <c r="I140" s="3" t="s">
        <v>2342</v>
      </c>
      <c r="J140" s="4" t="s">
        <v>1875</v>
      </c>
      <c r="K140" s="6" t="s">
        <v>22</v>
      </c>
      <c r="L140" s="3" t="s">
        <v>1063</v>
      </c>
      <c r="M140" s="4" t="s">
        <v>1771</v>
      </c>
    </row>
    <row r="141" customFormat="false" ht="15" hidden="false" customHeight="false" outlineLevel="0" collapsed="false">
      <c r="A141" s="7" t="s">
        <v>2343</v>
      </c>
      <c r="B141" s="7" t="s">
        <v>1060</v>
      </c>
      <c r="C141" s="8" t="s">
        <v>25</v>
      </c>
      <c r="D141" s="7" t="s">
        <v>2344</v>
      </c>
      <c r="E141" s="7" t="s">
        <v>2345</v>
      </c>
      <c r="F141" s="7" t="s">
        <v>28</v>
      </c>
      <c r="G141" s="9"/>
      <c r="H141" s="7" t="s">
        <v>2346</v>
      </c>
      <c r="I141" s="7" t="s">
        <v>2342</v>
      </c>
      <c r="J141" s="8" t="s">
        <v>1875</v>
      </c>
      <c r="K141" s="6" t="s">
        <v>22</v>
      </c>
      <c r="L141" s="7" t="s">
        <v>1068</v>
      </c>
      <c r="M141" s="8" t="s">
        <v>1771</v>
      </c>
    </row>
    <row r="142" customFormat="false" ht="15" hidden="false" customHeight="false" outlineLevel="0" collapsed="false">
      <c r="A142" s="3" t="s">
        <v>2347</v>
      </c>
      <c r="B142" s="3" t="s">
        <v>1060</v>
      </c>
      <c r="C142" s="4" t="s">
        <v>31</v>
      </c>
      <c r="D142" s="3" t="s">
        <v>2348</v>
      </c>
      <c r="E142" s="3" t="s">
        <v>2349</v>
      </c>
      <c r="F142" s="3" t="s">
        <v>34</v>
      </c>
      <c r="G142" s="5"/>
      <c r="H142" s="3" t="s">
        <v>2350</v>
      </c>
      <c r="I142" s="3" t="s">
        <v>2342</v>
      </c>
      <c r="J142" s="4" t="s">
        <v>1875</v>
      </c>
      <c r="K142" s="6" t="s">
        <v>22</v>
      </c>
      <c r="L142" s="3" t="s">
        <v>1072</v>
      </c>
      <c r="M142" s="4" t="s">
        <v>1771</v>
      </c>
    </row>
    <row r="143" customFormat="false" ht="15" hidden="false" customHeight="false" outlineLevel="0" collapsed="false">
      <c r="A143" s="7" t="s">
        <v>2351</v>
      </c>
      <c r="B143" s="7" t="s">
        <v>620</v>
      </c>
      <c r="C143" s="8" t="s">
        <v>15</v>
      </c>
      <c r="D143" s="7" t="s">
        <v>2352</v>
      </c>
      <c r="E143" s="7" t="s">
        <v>2353</v>
      </c>
      <c r="F143" s="7" t="s">
        <v>18</v>
      </c>
      <c r="G143" s="10" t="n">
        <v>2026</v>
      </c>
      <c r="H143" s="7" t="s">
        <v>2354</v>
      </c>
      <c r="I143" s="7" t="s">
        <v>2355</v>
      </c>
      <c r="J143" s="8" t="s">
        <v>1875</v>
      </c>
      <c r="K143" s="6" t="s">
        <v>22</v>
      </c>
      <c r="L143" s="7" t="s">
        <v>681</v>
      </c>
      <c r="M143" s="8" t="s">
        <v>1771</v>
      </c>
    </row>
    <row r="144" customFormat="false" ht="15" hidden="false" customHeight="false" outlineLevel="0" collapsed="false">
      <c r="A144" s="3" t="s">
        <v>2356</v>
      </c>
      <c r="B144" s="3" t="s">
        <v>620</v>
      </c>
      <c r="C144" s="4" t="s">
        <v>25</v>
      </c>
      <c r="D144" s="3" t="s">
        <v>2357</v>
      </c>
      <c r="E144" s="3" t="s">
        <v>2358</v>
      </c>
      <c r="F144" s="3" t="s">
        <v>28</v>
      </c>
      <c r="G144" s="11" t="n">
        <v>2026</v>
      </c>
      <c r="H144" s="3" t="s">
        <v>2359</v>
      </c>
      <c r="I144" s="3" t="s">
        <v>2355</v>
      </c>
      <c r="J144" s="4" t="s">
        <v>1875</v>
      </c>
      <c r="K144" s="6" t="s">
        <v>22</v>
      </c>
      <c r="L144" s="3" t="s">
        <v>687</v>
      </c>
      <c r="M144" s="4" t="s">
        <v>1771</v>
      </c>
    </row>
    <row r="145" customFormat="false" ht="15" hidden="false" customHeight="false" outlineLevel="0" collapsed="false">
      <c r="A145" s="7" t="s">
        <v>2360</v>
      </c>
      <c r="B145" s="7" t="s">
        <v>620</v>
      </c>
      <c r="C145" s="8" t="s">
        <v>31</v>
      </c>
      <c r="D145" s="7" t="s">
        <v>2361</v>
      </c>
      <c r="E145" s="7" t="s">
        <v>2362</v>
      </c>
      <c r="F145" s="7" t="s">
        <v>34</v>
      </c>
      <c r="G145" s="10" t="n">
        <v>2026</v>
      </c>
      <c r="H145" s="7" t="s">
        <v>2363</v>
      </c>
      <c r="I145" s="7" t="s">
        <v>2355</v>
      </c>
      <c r="J145" s="8" t="s">
        <v>1875</v>
      </c>
      <c r="K145" s="6" t="s">
        <v>22</v>
      </c>
      <c r="L145" s="7" t="s">
        <v>692</v>
      </c>
      <c r="M145" s="8" t="s">
        <v>1771</v>
      </c>
    </row>
    <row r="146" customFormat="false" ht="15" hidden="false" customHeight="false" outlineLevel="0" collapsed="false">
      <c r="A146" s="3" t="s">
        <v>2364</v>
      </c>
      <c r="B146" s="3" t="s">
        <v>448</v>
      </c>
      <c r="C146" s="4" t="s">
        <v>15</v>
      </c>
      <c r="D146" s="3" t="s">
        <v>2365</v>
      </c>
      <c r="E146" s="3" t="s">
        <v>2366</v>
      </c>
      <c r="F146" s="3" t="s">
        <v>18</v>
      </c>
      <c r="G146" s="11" t="n">
        <v>2026</v>
      </c>
      <c r="H146" s="3" t="s">
        <v>2367</v>
      </c>
      <c r="I146" s="3" t="s">
        <v>2368</v>
      </c>
      <c r="J146" s="4" t="s">
        <v>1875</v>
      </c>
      <c r="K146" s="6" t="s">
        <v>22</v>
      </c>
      <c r="L146" s="3"/>
      <c r="M146" s="4" t="s">
        <v>1771</v>
      </c>
    </row>
    <row r="147" customFormat="false" ht="15" hidden="false" customHeight="false" outlineLevel="0" collapsed="false">
      <c r="A147" s="7" t="s">
        <v>2369</v>
      </c>
      <c r="B147" s="7" t="s">
        <v>448</v>
      </c>
      <c r="C147" s="8" t="s">
        <v>25</v>
      </c>
      <c r="D147" s="7" t="s">
        <v>2370</v>
      </c>
      <c r="E147" s="7" t="s">
        <v>2371</v>
      </c>
      <c r="F147" s="7" t="s">
        <v>28</v>
      </c>
      <c r="G147" s="10" t="n">
        <v>2026</v>
      </c>
      <c r="H147" s="7" t="s">
        <v>2372</v>
      </c>
      <c r="I147" s="7" t="s">
        <v>2368</v>
      </c>
      <c r="J147" s="8" t="s">
        <v>1875</v>
      </c>
      <c r="K147" s="6" t="s">
        <v>22</v>
      </c>
      <c r="L147" s="7"/>
      <c r="M147" s="8" t="s">
        <v>1771</v>
      </c>
    </row>
    <row r="148" customFormat="false" ht="15" hidden="false" customHeight="false" outlineLevel="0" collapsed="false">
      <c r="A148" s="3" t="s">
        <v>2373</v>
      </c>
      <c r="B148" s="3" t="s">
        <v>448</v>
      </c>
      <c r="C148" s="4" t="s">
        <v>31</v>
      </c>
      <c r="D148" s="3" t="s">
        <v>2374</v>
      </c>
      <c r="E148" s="3" t="s">
        <v>2375</v>
      </c>
      <c r="F148" s="3" t="s">
        <v>34</v>
      </c>
      <c r="G148" s="11" t="n">
        <v>2026</v>
      </c>
      <c r="H148" s="3" t="s">
        <v>2376</v>
      </c>
      <c r="I148" s="3" t="s">
        <v>2368</v>
      </c>
      <c r="J148" s="4" t="s">
        <v>1875</v>
      </c>
      <c r="K148" s="6" t="s">
        <v>22</v>
      </c>
      <c r="L148" s="3"/>
      <c r="M148" s="4" t="s">
        <v>1771</v>
      </c>
    </row>
    <row r="149" customFormat="false" ht="15" hidden="false" customHeight="false" outlineLevel="0" collapsed="false">
      <c r="A149" s="7" t="s">
        <v>2377</v>
      </c>
      <c r="B149" s="7" t="s">
        <v>448</v>
      </c>
      <c r="C149" s="8" t="s">
        <v>15</v>
      </c>
      <c r="D149" s="7" t="s">
        <v>2378</v>
      </c>
      <c r="E149" s="7" t="s">
        <v>2379</v>
      </c>
      <c r="F149" s="7" t="s">
        <v>1685</v>
      </c>
      <c r="G149" s="10" t="n">
        <v>2026</v>
      </c>
      <c r="H149" s="7" t="s">
        <v>2380</v>
      </c>
      <c r="I149" s="7" t="s">
        <v>2381</v>
      </c>
      <c r="J149" s="8" t="s">
        <v>1875</v>
      </c>
      <c r="K149" s="6" t="s">
        <v>22</v>
      </c>
      <c r="L149" s="7" t="s">
        <v>1669</v>
      </c>
      <c r="M149" s="8" t="s">
        <v>1771</v>
      </c>
    </row>
    <row r="150" customFormat="false" ht="15" hidden="false" customHeight="false" outlineLevel="0" collapsed="false">
      <c r="A150" s="3" t="s">
        <v>2382</v>
      </c>
      <c r="B150" s="3" t="s">
        <v>448</v>
      </c>
      <c r="C150" s="4" t="s">
        <v>25</v>
      </c>
      <c r="D150" s="3" t="s">
        <v>2383</v>
      </c>
      <c r="E150" s="3" t="s">
        <v>2384</v>
      </c>
      <c r="F150" s="3" t="s">
        <v>1691</v>
      </c>
      <c r="G150" s="11" t="n">
        <v>2026</v>
      </c>
      <c r="H150" s="3" t="s">
        <v>2385</v>
      </c>
      <c r="I150" s="3" t="s">
        <v>2381</v>
      </c>
      <c r="J150" s="4" t="s">
        <v>1875</v>
      </c>
      <c r="K150" s="6" t="s">
        <v>22</v>
      </c>
      <c r="L150" s="3" t="s">
        <v>1675</v>
      </c>
      <c r="M150" s="4" t="s">
        <v>1771</v>
      </c>
    </row>
    <row r="151" customFormat="false" ht="15" hidden="false" customHeight="false" outlineLevel="0" collapsed="false">
      <c r="A151" s="7" t="s">
        <v>2386</v>
      </c>
      <c r="B151" s="7" t="s">
        <v>448</v>
      </c>
      <c r="C151" s="8" t="s">
        <v>31</v>
      </c>
      <c r="D151" s="7" t="s">
        <v>2387</v>
      </c>
      <c r="E151" s="7" t="s">
        <v>2388</v>
      </c>
      <c r="F151" s="7" t="s">
        <v>1696</v>
      </c>
      <c r="G151" s="10" t="n">
        <v>2026</v>
      </c>
      <c r="H151" s="7" t="s">
        <v>2389</v>
      </c>
      <c r="I151" s="7" t="s">
        <v>2381</v>
      </c>
      <c r="J151" s="8" t="s">
        <v>1875</v>
      </c>
      <c r="K151" s="6" t="s">
        <v>22</v>
      </c>
      <c r="L151" s="7" t="s">
        <v>1680</v>
      </c>
      <c r="M151" s="8" t="s">
        <v>1771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6"/>
    <col collapsed="false" customWidth="true" hidden="false" outlineLevel="0" max="6" min="6" style="0" width="4"/>
    <col collapsed="false" customWidth="true" hidden="false" outlineLevel="0" max="8" min="7" style="0" width="22"/>
  </cols>
  <sheetData>
    <row r="1" customFormat="false" ht="27.75" hidden="false" customHeight="true" outlineLevel="0" collapsed="false">
      <c r="A1" s="17" t="s">
        <v>2390</v>
      </c>
      <c r="B1" s="17"/>
      <c r="C1" s="17"/>
      <c r="D1" s="17"/>
      <c r="E1" s="17"/>
      <c r="F1" s="17"/>
      <c r="G1" s="17"/>
      <c r="H1" s="17"/>
    </row>
    <row r="2" customFormat="false" ht="19.5" hidden="false" customHeight="true" outlineLevel="0" collapsed="false">
      <c r="A2" s="18" t="s">
        <v>2391</v>
      </c>
      <c r="B2" s="18"/>
      <c r="C2" s="18"/>
      <c r="D2" s="18"/>
      <c r="E2" s="18"/>
      <c r="F2" s="18"/>
      <c r="G2" s="18"/>
      <c r="H2" s="18"/>
    </row>
    <row r="4" customFormat="false" ht="15" hidden="false" customHeight="false" outlineLevel="0" collapsed="false">
      <c r="A4" s="19" t="s">
        <v>2392</v>
      </c>
      <c r="B4" s="19"/>
      <c r="C4" s="19" t="s">
        <v>2393</v>
      </c>
      <c r="D4" s="19"/>
      <c r="E4" s="19" t="s">
        <v>2394</v>
      </c>
      <c r="F4" s="19"/>
      <c r="G4" s="19" t="s">
        <v>2395</v>
      </c>
      <c r="H4" s="19"/>
    </row>
    <row r="5" customFormat="false" ht="15" hidden="false" customHeight="false" outlineLevel="0" collapsed="false">
      <c r="A5" s="20" t="n">
        <f aca="false">COUNTA(Sheet1!A2:A619)</f>
        <v>618</v>
      </c>
      <c r="B5" s="20"/>
      <c r="C5" s="20" t="n">
        <f aca="false">COUNTIF(Sheet1!C2:C619,"de")</f>
        <v>206</v>
      </c>
      <c r="D5" s="20"/>
      <c r="E5" s="20" t="n">
        <f aca="false">COUNTIF(Sheet1!K2:K619,"VERIFIED")</f>
        <v>549</v>
      </c>
      <c r="F5" s="20"/>
      <c r="G5" s="20" t="n">
        <f aca="false">COUNTIF(Sheet1!K2:K619,"REFUSAL")</f>
        <v>30</v>
      </c>
      <c r="H5" s="20"/>
    </row>
    <row r="6" customFormat="false" ht="15" hidden="false" customHeight="false" outlineLevel="0" collapsed="false">
      <c r="A6" s="21" t="s">
        <v>2396</v>
      </c>
      <c r="B6" s="21"/>
      <c r="C6" s="21" t="s">
        <v>2397</v>
      </c>
      <c r="D6" s="21"/>
      <c r="E6" s="21" t="s">
        <v>2398</v>
      </c>
      <c r="F6" s="21"/>
      <c r="G6" s="21" t="s">
        <v>2399</v>
      </c>
      <c r="H6" s="21"/>
    </row>
    <row r="9" customFormat="false" ht="21.75" hidden="false" customHeight="true" outlineLevel="0" collapsed="false">
      <c r="A9" s="22" t="s">
        <v>2400</v>
      </c>
      <c r="B9" s="23" t="s">
        <v>2401</v>
      </c>
      <c r="C9" s="23" t="s">
        <v>2402</v>
      </c>
      <c r="D9" s="23" t="s">
        <v>2403</v>
      </c>
      <c r="E9" s="23" t="s">
        <v>2404</v>
      </c>
    </row>
    <row r="10" customFormat="false" ht="15" hidden="false" customHeight="false" outlineLevel="0" collapsed="false">
      <c r="A10" s="24" t="s">
        <v>448</v>
      </c>
      <c r="B10" s="25" t="n">
        <f aca="false">COUNTIFS(Sheet1!$B$2:$B$619,A10,Sheet1!$C$2:$C$619,"vi")</f>
        <v>28</v>
      </c>
      <c r="C10" s="25" t="n">
        <f aca="false">COUNTIFS(Sheet1!$B$2:$B$619,A10,Sheet1!$C$2:$C$619,"en")</f>
        <v>28</v>
      </c>
      <c r="D10" s="25" t="n">
        <f aca="false">COUNTIFS(Sheet1!$B$2:$B$619,A10,Sheet1!$C$2:$C$619,"de")</f>
        <v>28</v>
      </c>
      <c r="E10" s="25" t="n">
        <f aca="false">SUM(B10:D10)</f>
        <v>84</v>
      </c>
    </row>
    <row r="11" customFormat="false" ht="15" hidden="false" customHeight="false" outlineLevel="0" collapsed="false">
      <c r="A11" s="26" t="s">
        <v>864</v>
      </c>
      <c r="B11" s="27" t="n">
        <f aca="false">COUNTIFS(Sheet1!$B$2:$B$619,A11,Sheet1!$C$2:$C$619,"vi")</f>
        <v>10</v>
      </c>
      <c r="C11" s="27" t="n">
        <f aca="false">COUNTIFS(Sheet1!$B$2:$B$619,A11,Sheet1!$C$2:$C$619,"en")</f>
        <v>10</v>
      </c>
      <c r="D11" s="27" t="n">
        <f aca="false">COUNTIFS(Sheet1!$B$2:$B$619,A11,Sheet1!$C$2:$C$619,"de")</f>
        <v>10</v>
      </c>
      <c r="E11" s="27" t="n">
        <f aca="false">SUM(B11:D11)</f>
        <v>30</v>
      </c>
    </row>
    <row r="12" customFormat="false" ht="15" hidden="false" customHeight="false" outlineLevel="0" collapsed="false">
      <c r="A12" s="24" t="s">
        <v>1309</v>
      </c>
      <c r="B12" s="25" t="n">
        <f aca="false">COUNTIFS(Sheet1!$B$2:$B$619,A12,Sheet1!$C$2:$C$619,"vi")</f>
        <v>3</v>
      </c>
      <c r="C12" s="25" t="n">
        <f aca="false">COUNTIFS(Sheet1!$B$2:$B$619,A12,Sheet1!$C$2:$C$619,"en")</f>
        <v>3</v>
      </c>
      <c r="D12" s="25" t="n">
        <f aca="false">COUNTIFS(Sheet1!$B$2:$B$619,A12,Sheet1!$C$2:$C$619,"de")</f>
        <v>3</v>
      </c>
      <c r="E12" s="25" t="n">
        <f aca="false">SUM(B12:D12)</f>
        <v>9</v>
      </c>
    </row>
    <row r="13" customFormat="false" ht="15" hidden="false" customHeight="false" outlineLevel="0" collapsed="false">
      <c r="A13" s="26" t="s">
        <v>91</v>
      </c>
      <c r="B13" s="27" t="n">
        <f aca="false">COUNTIFS(Sheet1!$B$2:$B$619,A13,Sheet1!$C$2:$C$619,"vi")</f>
        <v>30</v>
      </c>
      <c r="C13" s="27" t="n">
        <f aca="false">COUNTIFS(Sheet1!$B$2:$B$619,A13,Sheet1!$C$2:$C$619,"en")</f>
        <v>30</v>
      </c>
      <c r="D13" s="27" t="n">
        <f aca="false">COUNTIFS(Sheet1!$B$2:$B$619,A13,Sheet1!$C$2:$C$619,"de")</f>
        <v>30</v>
      </c>
      <c r="E13" s="27" t="n">
        <f aca="false">SUM(B13:D13)</f>
        <v>90</v>
      </c>
    </row>
    <row r="14" customFormat="false" ht="15" hidden="false" customHeight="false" outlineLevel="0" collapsed="false">
      <c r="A14" s="24" t="s">
        <v>823</v>
      </c>
      <c r="B14" s="25" t="n">
        <f aca="false">COUNTIFS(Sheet1!$B$2:$B$619,A14,Sheet1!$C$2:$C$619,"vi")</f>
        <v>8</v>
      </c>
      <c r="C14" s="25" t="n">
        <f aca="false">COUNTIFS(Sheet1!$B$2:$B$619,A14,Sheet1!$C$2:$C$619,"en")</f>
        <v>8</v>
      </c>
      <c r="D14" s="25" t="n">
        <f aca="false">COUNTIFS(Sheet1!$B$2:$B$619,A14,Sheet1!$C$2:$C$619,"de")</f>
        <v>8</v>
      </c>
      <c r="E14" s="25" t="n">
        <f aca="false">SUM(B14:D14)</f>
        <v>24</v>
      </c>
    </row>
    <row r="15" customFormat="false" ht="15" hidden="false" customHeight="false" outlineLevel="0" collapsed="false">
      <c r="A15" s="26" t="s">
        <v>1414</v>
      </c>
      <c r="B15" s="27" t="n">
        <f aca="false">COUNTIFS(Sheet1!$B$2:$B$619,A15,Sheet1!$C$2:$C$619,"vi")</f>
        <v>5</v>
      </c>
      <c r="C15" s="27" t="n">
        <f aca="false">COUNTIFS(Sheet1!$B$2:$B$619,A15,Sheet1!$C$2:$C$619,"en")</f>
        <v>5</v>
      </c>
      <c r="D15" s="27" t="n">
        <f aca="false">COUNTIFS(Sheet1!$B$2:$B$619,A15,Sheet1!$C$2:$C$619,"de")</f>
        <v>5</v>
      </c>
      <c r="E15" s="27" t="n">
        <f aca="false">SUM(B15:D15)</f>
        <v>15</v>
      </c>
    </row>
    <row r="16" customFormat="false" ht="15" hidden="false" customHeight="false" outlineLevel="0" collapsed="false">
      <c r="A16" s="24" t="s">
        <v>556</v>
      </c>
      <c r="B16" s="25" t="n">
        <f aca="false">COUNTIFS(Sheet1!$B$2:$B$619,A16,Sheet1!$C$2:$C$619,"vi")</f>
        <v>10</v>
      </c>
      <c r="C16" s="25" t="n">
        <f aca="false">COUNTIFS(Sheet1!$B$2:$B$619,A16,Sheet1!$C$2:$C$619,"en")</f>
        <v>10</v>
      </c>
      <c r="D16" s="25" t="n">
        <f aca="false">COUNTIFS(Sheet1!$B$2:$B$619,A16,Sheet1!$C$2:$C$619,"de")</f>
        <v>10</v>
      </c>
      <c r="E16" s="25" t="n">
        <f aca="false">SUM(B16:D16)</f>
        <v>30</v>
      </c>
    </row>
    <row r="17" customFormat="false" ht="15" hidden="false" customHeight="false" outlineLevel="0" collapsed="false">
      <c r="A17" s="26" t="s">
        <v>1379</v>
      </c>
      <c r="B17" s="27" t="n">
        <f aca="false">COUNTIFS(Sheet1!$B$2:$B$619,A17,Sheet1!$C$2:$C$619,"vi")</f>
        <v>3</v>
      </c>
      <c r="C17" s="27" t="n">
        <f aca="false">COUNTIFS(Sheet1!$B$2:$B$619,A17,Sheet1!$C$2:$C$619,"en")</f>
        <v>3</v>
      </c>
      <c r="D17" s="27" t="n">
        <f aca="false">COUNTIFS(Sheet1!$B$2:$B$619,A17,Sheet1!$C$2:$C$619,"de")</f>
        <v>3</v>
      </c>
      <c r="E17" s="27" t="n">
        <f aca="false">SUM(B17:D17)</f>
        <v>9</v>
      </c>
    </row>
    <row r="18" customFormat="false" ht="15" hidden="false" customHeight="false" outlineLevel="0" collapsed="false">
      <c r="A18" s="24" t="s">
        <v>758</v>
      </c>
      <c r="B18" s="25" t="n">
        <f aca="false">COUNTIFS(Sheet1!$B$2:$B$619,A18,Sheet1!$C$2:$C$619,"vi")</f>
        <v>8</v>
      </c>
      <c r="C18" s="25" t="n">
        <f aca="false">COUNTIFS(Sheet1!$B$2:$B$619,A18,Sheet1!$C$2:$C$619,"en")</f>
        <v>8</v>
      </c>
      <c r="D18" s="25" t="n">
        <f aca="false">COUNTIFS(Sheet1!$B$2:$B$619,A18,Sheet1!$C$2:$C$619,"de")</f>
        <v>8</v>
      </c>
      <c r="E18" s="25" t="n">
        <f aca="false">SUM(B18:D18)</f>
        <v>24</v>
      </c>
    </row>
    <row r="19" customFormat="false" ht="15" hidden="false" customHeight="false" outlineLevel="0" collapsed="false">
      <c r="A19" s="26" t="s">
        <v>967</v>
      </c>
      <c r="B19" s="27" t="n">
        <f aca="false">COUNTIFS(Sheet1!$B$2:$B$619,A19,Sheet1!$C$2:$C$619,"vi")</f>
        <v>6</v>
      </c>
      <c r="C19" s="27" t="n">
        <f aca="false">COUNTIFS(Sheet1!$B$2:$B$619,A19,Sheet1!$C$2:$C$619,"en")</f>
        <v>6</v>
      </c>
      <c r="D19" s="27" t="n">
        <f aca="false">COUNTIFS(Sheet1!$B$2:$B$619,A19,Sheet1!$C$2:$C$619,"de")</f>
        <v>6</v>
      </c>
      <c r="E19" s="27" t="n">
        <f aca="false">SUM(B19:D19)</f>
        <v>18</v>
      </c>
    </row>
    <row r="20" customFormat="false" ht="15" hidden="false" customHeight="false" outlineLevel="0" collapsed="false">
      <c r="A20" s="24" t="s">
        <v>361</v>
      </c>
      <c r="B20" s="25" t="n">
        <f aca="false">COUNTIFS(Sheet1!$B$2:$B$619,A20,Sheet1!$C$2:$C$619,"vi")</f>
        <v>8</v>
      </c>
      <c r="C20" s="25" t="n">
        <f aca="false">COUNTIFS(Sheet1!$B$2:$B$619,A20,Sheet1!$C$2:$C$619,"en")</f>
        <v>8</v>
      </c>
      <c r="D20" s="25" t="n">
        <f aca="false">COUNTIFS(Sheet1!$B$2:$B$619,A20,Sheet1!$C$2:$C$619,"de")</f>
        <v>8</v>
      </c>
      <c r="E20" s="25" t="n">
        <f aca="false">SUM(B20:D20)</f>
        <v>24</v>
      </c>
    </row>
    <row r="21" customFormat="false" ht="15" hidden="false" customHeight="false" outlineLevel="0" collapsed="false">
      <c r="A21" s="26" t="s">
        <v>926</v>
      </c>
      <c r="B21" s="27" t="n">
        <f aca="false">COUNTIFS(Sheet1!$B$2:$B$619,A21,Sheet1!$C$2:$C$619,"vi")</f>
        <v>7</v>
      </c>
      <c r="C21" s="27" t="n">
        <f aca="false">COUNTIFS(Sheet1!$B$2:$B$619,A21,Sheet1!$C$2:$C$619,"en")</f>
        <v>7</v>
      </c>
      <c r="D21" s="27" t="n">
        <f aca="false">COUNTIFS(Sheet1!$B$2:$B$619,A21,Sheet1!$C$2:$C$619,"de")</f>
        <v>7</v>
      </c>
      <c r="E21" s="27" t="n">
        <f aca="false">SUM(B21:D21)</f>
        <v>21</v>
      </c>
    </row>
    <row r="22" customFormat="false" ht="15" hidden="false" customHeight="false" outlineLevel="0" collapsed="false">
      <c r="A22" s="24" t="s">
        <v>1094</v>
      </c>
      <c r="B22" s="25" t="n">
        <f aca="false">COUNTIFS(Sheet1!$B$2:$B$619,A22,Sheet1!$C$2:$C$619,"vi")</f>
        <v>7</v>
      </c>
      <c r="C22" s="25" t="n">
        <f aca="false">COUNTIFS(Sheet1!$B$2:$B$619,A22,Sheet1!$C$2:$C$619,"en")</f>
        <v>7</v>
      </c>
      <c r="D22" s="25" t="n">
        <f aca="false">COUNTIFS(Sheet1!$B$2:$B$619,A22,Sheet1!$C$2:$C$619,"de")</f>
        <v>7</v>
      </c>
      <c r="E22" s="25" t="n">
        <f aca="false">SUM(B22:D22)</f>
        <v>21</v>
      </c>
    </row>
    <row r="23" customFormat="false" ht="15" hidden="false" customHeight="false" outlineLevel="0" collapsed="false">
      <c r="A23" s="26" t="s">
        <v>1159</v>
      </c>
      <c r="B23" s="27" t="n">
        <f aca="false">COUNTIFS(Sheet1!$B$2:$B$619,A23,Sheet1!$C$2:$C$619,"vi")</f>
        <v>10</v>
      </c>
      <c r="C23" s="27" t="n">
        <f aca="false">COUNTIFS(Sheet1!$B$2:$B$619,A23,Sheet1!$C$2:$C$619,"en")</f>
        <v>10</v>
      </c>
      <c r="D23" s="27" t="n">
        <f aca="false">COUNTIFS(Sheet1!$B$2:$B$619,A23,Sheet1!$C$2:$C$619,"de")</f>
        <v>10</v>
      </c>
      <c r="E23" s="27" t="n">
        <f aca="false">SUM(B23:D23)</f>
        <v>30</v>
      </c>
    </row>
    <row r="24" customFormat="false" ht="15" hidden="false" customHeight="false" outlineLevel="0" collapsed="false">
      <c r="A24" s="24" t="s">
        <v>1764</v>
      </c>
      <c r="B24" s="25" t="n">
        <f aca="false">COUNTIFS(Sheet1!$B$2:$B$619,A24,Sheet1!$C$2:$C$619,"vi")</f>
        <v>10</v>
      </c>
      <c r="C24" s="25" t="n">
        <f aca="false">COUNTIFS(Sheet1!$B$2:$B$619,A24,Sheet1!$C$2:$C$619,"en")</f>
        <v>10</v>
      </c>
      <c r="D24" s="25" t="n">
        <f aca="false">COUNTIFS(Sheet1!$B$2:$B$619,A24,Sheet1!$C$2:$C$619,"de")</f>
        <v>10</v>
      </c>
      <c r="E24" s="25" t="n">
        <f aca="false">SUM(B24:D24)</f>
        <v>30</v>
      </c>
    </row>
    <row r="25" customFormat="false" ht="15" hidden="false" customHeight="false" outlineLevel="0" collapsed="false">
      <c r="A25" s="26" t="s">
        <v>14</v>
      </c>
      <c r="B25" s="27" t="n">
        <f aca="false">COUNTIFS(Sheet1!$B$2:$B$619,A25,Sheet1!$C$2:$C$619,"vi")</f>
        <v>11</v>
      </c>
      <c r="C25" s="27" t="n">
        <f aca="false">COUNTIFS(Sheet1!$B$2:$B$619,A25,Sheet1!$C$2:$C$619,"en")</f>
        <v>11</v>
      </c>
      <c r="D25" s="27" t="n">
        <f aca="false">COUNTIFS(Sheet1!$B$2:$B$619,A25,Sheet1!$C$2:$C$619,"de")</f>
        <v>11</v>
      </c>
      <c r="E25" s="27" t="n">
        <f aca="false">SUM(B25:D25)</f>
        <v>33</v>
      </c>
    </row>
    <row r="26" customFormat="false" ht="15" hidden="false" customHeight="false" outlineLevel="0" collapsed="false">
      <c r="A26" s="24" t="s">
        <v>695</v>
      </c>
      <c r="B26" s="25" t="n">
        <f aca="false">COUNTIFS(Sheet1!$B$2:$B$619,A26,Sheet1!$C$2:$C$619,"vi")</f>
        <v>9</v>
      </c>
      <c r="C26" s="25" t="n">
        <f aca="false">COUNTIFS(Sheet1!$B$2:$B$619,A26,Sheet1!$C$2:$C$619,"en")</f>
        <v>9</v>
      </c>
      <c r="D26" s="25" t="n">
        <f aca="false">COUNTIFS(Sheet1!$B$2:$B$619,A26,Sheet1!$C$2:$C$619,"de")</f>
        <v>9</v>
      </c>
      <c r="E26" s="25" t="n">
        <f aca="false">SUM(B26:D26)</f>
        <v>27</v>
      </c>
    </row>
    <row r="27" customFormat="false" ht="15" hidden="false" customHeight="false" outlineLevel="0" collapsed="false">
      <c r="A27" s="26" t="s">
        <v>299</v>
      </c>
      <c r="B27" s="27" t="n">
        <f aca="false">COUNTIFS(Sheet1!$B$2:$B$619,A27,Sheet1!$C$2:$C$619,"vi")</f>
        <v>6</v>
      </c>
      <c r="C27" s="27" t="n">
        <f aca="false">COUNTIFS(Sheet1!$B$2:$B$619,A27,Sheet1!$C$2:$C$619,"en")</f>
        <v>6</v>
      </c>
      <c r="D27" s="27" t="n">
        <f aca="false">COUNTIFS(Sheet1!$B$2:$B$619,A27,Sheet1!$C$2:$C$619,"de")</f>
        <v>6</v>
      </c>
      <c r="E27" s="27" t="n">
        <f aca="false">SUM(B27:D27)</f>
        <v>18</v>
      </c>
    </row>
    <row r="28" customFormat="false" ht="15" hidden="false" customHeight="false" outlineLevel="0" collapsed="false">
      <c r="A28" s="24" t="s">
        <v>1060</v>
      </c>
      <c r="B28" s="25" t="n">
        <f aca="false">COUNTIFS(Sheet1!$B$2:$B$619,A28,Sheet1!$C$2:$C$619,"vi")</f>
        <v>8</v>
      </c>
      <c r="C28" s="25" t="n">
        <f aca="false">COUNTIFS(Sheet1!$B$2:$B$619,A28,Sheet1!$C$2:$C$619,"en")</f>
        <v>8</v>
      </c>
      <c r="D28" s="25" t="n">
        <f aca="false">COUNTIFS(Sheet1!$B$2:$B$619,A28,Sheet1!$C$2:$C$619,"de")</f>
        <v>8</v>
      </c>
      <c r="E28" s="25" t="n">
        <f aca="false">SUM(B28:D28)</f>
        <v>24</v>
      </c>
    </row>
    <row r="29" customFormat="false" ht="15" hidden="false" customHeight="false" outlineLevel="0" collapsed="false">
      <c r="A29" s="26" t="s">
        <v>1463</v>
      </c>
      <c r="B29" s="27" t="n">
        <f aca="false">COUNTIFS(Sheet1!$B$2:$B$619,A29,Sheet1!$C$2:$C$619,"vi")</f>
        <v>1</v>
      </c>
      <c r="C29" s="27" t="n">
        <f aca="false">COUNTIFS(Sheet1!$B$2:$B$619,A29,Sheet1!$C$2:$C$619,"en")</f>
        <v>1</v>
      </c>
      <c r="D29" s="27" t="n">
        <f aca="false">COUNTIFS(Sheet1!$B$2:$B$619,A29,Sheet1!$C$2:$C$619,"de")</f>
        <v>1</v>
      </c>
      <c r="E29" s="27" t="n">
        <f aca="false">SUM(B29:D29)</f>
        <v>3</v>
      </c>
    </row>
    <row r="30" customFormat="false" ht="15" hidden="false" customHeight="false" outlineLevel="0" collapsed="false">
      <c r="A30" s="24" t="s">
        <v>620</v>
      </c>
      <c r="B30" s="25" t="n">
        <f aca="false">COUNTIFS(Sheet1!$B$2:$B$619,A30,Sheet1!$C$2:$C$619,"vi")</f>
        <v>18</v>
      </c>
      <c r="C30" s="25" t="n">
        <f aca="false">COUNTIFS(Sheet1!$B$2:$B$619,A30,Sheet1!$C$2:$C$619,"en")</f>
        <v>18</v>
      </c>
      <c r="D30" s="25" t="n">
        <f aca="false">COUNTIFS(Sheet1!$B$2:$B$619,A30,Sheet1!$C$2:$C$619,"de")</f>
        <v>18</v>
      </c>
      <c r="E30" s="25" t="n">
        <f aca="false">SUM(B30:D30)</f>
        <v>54</v>
      </c>
    </row>
    <row r="31" customFormat="false" ht="15" hidden="false" customHeight="false" outlineLevel="0" collapsed="false">
      <c r="A31" s="28" t="s">
        <v>2405</v>
      </c>
      <c r="B31" s="29" t="n">
        <f aca="false">SUM(B10:B30)</f>
        <v>206</v>
      </c>
      <c r="C31" s="29" t="n">
        <f aca="false">SUM(C10:C30)</f>
        <v>206</v>
      </c>
      <c r="D31" s="29" t="n">
        <f aca="false">SUM(D10:D30)</f>
        <v>206</v>
      </c>
      <c r="E31" s="29" t="n">
        <f aca="false">SUM(E10:E30)</f>
        <v>618</v>
      </c>
    </row>
  </sheetData>
  <mergeCells count="14">
    <mergeCell ref="A1:H1"/>
    <mergeCell ref="A2:H2"/>
    <mergeCell ref="A4:B4"/>
    <mergeCell ref="C4:D4"/>
    <mergeCell ref="E4:F4"/>
    <mergeCell ref="G4:H4"/>
    <mergeCell ref="A5:B5"/>
    <mergeCell ref="C5:D5"/>
    <mergeCell ref="E5:F5"/>
    <mergeCell ref="G5:H5"/>
    <mergeCell ref="A6:B6"/>
    <mergeCell ref="C6:D6"/>
    <mergeCell ref="E6:F6"/>
    <mergeCell ref="G6: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2026-10-27T06:50:17Z</dcterms:created>
  <dc:creator>openpyxl</dc:creator>
  <dc:description/>
  <dc:language>en-US</dc:language>
  <cp:lastModifiedBy/>
  <dcterms:modified xsi:type="dcterms:W3CDTF">2026-10-27T06:50:19Z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